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입력" sheetId="1" state="visible" r:id="rId1"/>
    <sheet name="사용자당" sheetId="2" state="visible" r:id="rId2"/>
    <sheet name="90일 시나리오" sheetId="3" state="visible" r:id="rId3"/>
    <sheet name="CPI 민감도" sheetId="4" state="visible" r:id="rId4"/>
    <sheet name="500만원 목표" sheetId="5" state="visible" r:id="rId5"/>
    <sheet name="1개월 목표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$#,##0.00;($#,##0.00);-"/>
    <numFmt numFmtId="165" formatCode="0.0%;(0.0%);-"/>
    <numFmt numFmtId="166" formatCode="$0.0000"/>
    <numFmt numFmtId="167" formatCode="#,##0;(#,##0);-"/>
    <numFmt numFmtId="168" formatCode="0.0"/>
    <numFmt numFmtId="169" formatCode="$#,##0;($#,##0);-"/>
    <numFmt numFmtId="170" formatCode="0.000"/>
    <numFmt numFmtId="171" formatCode="0.0000"/>
    <numFmt numFmtId="172" formatCode="₩#,##0;(₩#,##0);-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rgb="0000800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EEEEE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3" borderId="0" pivotButton="0" quotePrefix="0" xfId="0"/>
    <xf numFmtId="164" fontId="5" fillId="0" borderId="0" pivotButton="0" quotePrefix="0" xfId="0"/>
    <xf numFmtId="164" fontId="5" fillId="4" borderId="0" pivotButton="0" quotePrefix="0" xfId="0"/>
    <xf numFmtId="165" fontId="5" fillId="4" borderId="0" pivotButton="0" quotePrefix="0" xfId="0"/>
    <xf numFmtId="166" fontId="5" fillId="0" borderId="0" pivotButton="0" quotePrefix="0" xfId="0"/>
    <xf numFmtId="167" fontId="5" fillId="4" borderId="0" pivotButton="0" quotePrefix="0" xfId="0"/>
    <xf numFmtId="168" fontId="5" fillId="4" borderId="0" pivotButton="0" quotePrefix="0" xfId="0"/>
    <xf numFmtId="169" fontId="5" fillId="0" borderId="0" pivotButton="0" quotePrefix="0" xfId="0"/>
    <xf numFmtId="169" fontId="5" fillId="4" borderId="0" pivotButton="0" quotePrefix="0" xfId="0"/>
    <xf numFmtId="166" fontId="2" fillId="0" borderId="0" pivotButton="0" quotePrefix="0" xfId="0"/>
    <xf numFmtId="164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0" fontId="4" fillId="0" borderId="0" pivotButton="0" quotePrefix="0" xfId="0"/>
    <xf numFmtId="167" fontId="2" fillId="0" borderId="0" pivotButton="0" quotePrefix="0" xfId="0"/>
    <xf numFmtId="169" fontId="2" fillId="0" borderId="0" pivotButton="0" quotePrefix="0" xfId="0"/>
    <xf numFmtId="169" fontId="4" fillId="0" borderId="0" pivotButton="0" quotePrefix="0" xfId="0"/>
    <xf numFmtId="170" fontId="2" fillId="0" borderId="0" pivotButton="0" quotePrefix="0" xfId="0"/>
    <xf numFmtId="164" fontId="4" fillId="0" borderId="0" pivotButton="0" quotePrefix="0" xfId="0"/>
    <xf numFmtId="164" fontId="3" fillId="2" borderId="0" applyAlignment="1" pivotButton="0" quotePrefix="0" xfId="0">
      <alignment horizontal="center" vertical="center" wrapText="1"/>
    </xf>
    <xf numFmtId="164" fontId="2" fillId="0" borderId="1" pivotButton="0" quotePrefix="0" xfId="0"/>
    <xf numFmtId="3" fontId="5" fillId="0" borderId="0" pivotButton="0" quotePrefix="0" xfId="0"/>
    <xf numFmtId="3" fontId="5" fillId="4" borderId="0" pivotButton="0" quotePrefix="0" xfId="0"/>
    <xf numFmtId="169" fontId="6" fillId="0" borderId="0" pivotButton="0" quotePrefix="0" xfId="0"/>
    <xf numFmtId="170" fontId="6" fillId="0" borderId="0" pivotButton="0" quotePrefix="0" xfId="0"/>
    <xf numFmtId="171" fontId="2" fillId="0" borderId="0" pivotButton="0" quotePrefix="0" xfId="0"/>
    <xf numFmtId="167" fontId="4" fillId="0" borderId="0" pivotButton="0" quotePrefix="0" xfId="0"/>
    <xf numFmtId="10" fontId="5" fillId="4" borderId="0" pivotButton="0" quotePrefix="0" xfId="0"/>
    <xf numFmtId="9" fontId="2" fillId="0" borderId="0" pivotButton="0" quotePrefix="0" xfId="0"/>
    <xf numFmtId="0" fontId="3" fillId="2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5" fontId="2" fillId="0" borderId="0" pivotButton="0" quotePrefix="0" xfId="0"/>
    <xf numFmtId="10" fontId="6" fillId="0" borderId="0" pivotButton="0" quotePrefix="0" xfId="0"/>
    <xf numFmtId="166" fontId="6" fillId="0" borderId="0" pivotButton="0" quotePrefix="0" xfId="0"/>
    <xf numFmtId="164" fontId="6" fillId="0" borderId="0" pivotButton="0" quotePrefix="0" xfId="0"/>
    <xf numFmtId="172" fontId="5" fillId="4" borderId="0" pivotButton="0" quotePrefix="0" xfId="0"/>
    <xf numFmtId="172" fontId="2" fillId="0" borderId="0" pivotButton="0" quotePrefix="0" xfId="0"/>
    <xf numFmtId="0" fontId="2" fillId="2" borderId="0" pivotButton="0" quotePrefix="0" xfId="0"/>
    <xf numFmtId="17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78" customWidth="1" min="3" max="3"/>
  </cols>
  <sheetData>
    <row r="1">
      <c r="A1" s="1" t="inlineStr">
        <is>
          <t>Fatesaid 손익 시트 — 입력값</t>
        </is>
      </c>
    </row>
    <row r="2">
      <c r="A2" s="2" t="inlineStr">
        <is>
          <t>파란 글씨 = 직접 바꿀 수 있는 입력, 노란 칸 = 확인이 필요한 가정. 다른 시트는 전부 이 값을 참조합니다.</t>
        </is>
      </c>
    </row>
    <row r="4">
      <c r="A4" s="3" t="inlineStr">
        <is>
          <t>항목</t>
        </is>
      </c>
      <c r="B4" s="3" t="inlineStr">
        <is>
          <t>값</t>
        </is>
      </c>
      <c r="C4" s="3" t="inlineStr">
        <is>
          <t>출처 / 상태</t>
        </is>
      </c>
    </row>
    <row r="5">
      <c r="A5" s="4" t="inlineStr">
        <is>
          <t>가격·수수료</t>
        </is>
      </c>
      <c r="B5" s="5" t="n"/>
      <c r="C5" s="5" t="n"/>
    </row>
    <row r="6">
      <c r="A6" s="2" t="inlineStr">
        <is>
          <t>구독 월 가격</t>
        </is>
      </c>
      <c r="B6" s="6" t="n">
        <v>7.99</v>
      </c>
      <c r="C6" s="2" t="inlineStr">
        <is>
          <t>PRODUCT.md (확인됨)</t>
        </is>
      </c>
    </row>
    <row r="7">
      <c r="A7" s="2" t="inlineStr">
        <is>
          <t>딥 리포트 가격</t>
        </is>
      </c>
      <c r="B7" s="6" t="n">
        <v>14.99</v>
      </c>
      <c r="C7" s="2" t="inlineStr">
        <is>
          <t>PRODUCT.md (확인됨)</t>
        </is>
      </c>
    </row>
    <row r="8">
      <c r="A8" s="2" t="inlineStr">
        <is>
          <t>연간 리포트 가격</t>
        </is>
      </c>
      <c r="B8" s="7" t="n">
        <v>14.99</v>
      </c>
      <c r="C8" s="2" t="inlineStr">
        <is>
          <t>가정: 딥 리포트와 동일. 실제 가격 확인 필요</t>
        </is>
      </c>
    </row>
    <row r="9">
      <c r="A9" s="2" t="inlineStr">
        <is>
          <t>스토어 수수료율</t>
        </is>
      </c>
      <c r="B9" s="8" t="n">
        <v>0.15</v>
      </c>
      <c r="C9" s="2" t="inlineStr">
        <is>
          <t>소규모 사업자 프로그램 15% 가입 완료(2026-10-08 메모 기준). 실제 적용률은 정산 화면에서 확인 필요(사용자)</t>
        </is>
      </c>
    </row>
    <row r="10">
      <c r="A10" s="2" t="inlineStr">
        <is>
          <t>환불·취소 손실률</t>
        </is>
      </c>
      <c r="B10" s="8" t="n">
        <v>0.075</v>
      </c>
      <c r="C10" s="2" t="inlineStr">
        <is>
          <t>가정 5~10%의 중간. 실측으로 교체</t>
        </is>
      </c>
    </row>
    <row r="11">
      <c r="A11" s="2" t="inlineStr">
        <is>
          <t>RevenueCat 수수료율</t>
        </is>
      </c>
      <c r="B11" s="8" t="n">
        <v>0</v>
      </c>
      <c r="C11" s="2" t="inlineStr">
        <is>
          <t>RevenueCat 공식 요금 페이지(2026-10-20 확인): 월 추적 매출(MTR) $2,500까지 무료, 도달 후 1%. 지금 규모는 0 유지. 1% 적용 범위(전체/초과분)는 페이지에 불명확</t>
        </is>
      </c>
    </row>
    <row r="12">
      <c r="A12" s="4" t="inlineStr">
        <is>
          <t>AI 단가 (측정값, USD)</t>
        </is>
      </c>
      <c r="B12" s="5" t="n"/>
      <c r="C12" s="5" t="n"/>
    </row>
    <row r="13">
      <c r="A13" s="2" t="inlineStr">
        <is>
          <t>상담 25턴 1세트 (봇+요약)</t>
        </is>
      </c>
      <c r="B13" s="9" t="n">
        <v>0.032</v>
      </c>
      <c r="C13" s="2" t="inlineStr">
        <is>
          <t>2026-10-19 sim-chat v2 25턴 측정, luna (확인됨, 시뮬 사용자 기준)</t>
        </is>
      </c>
    </row>
    <row r="14">
      <c r="A14" s="2" t="inlineStr">
        <is>
          <t>딥 리포트 1건</t>
        </is>
      </c>
      <c r="B14" s="9" t="n">
        <v>0.014</v>
      </c>
      <c r="C14" s="2" t="inlineStr">
        <is>
          <t>운영 로그 세션 평균 (확인됨, 표본 14)</t>
        </is>
      </c>
    </row>
    <row r="15">
      <c r="A15" s="2" t="inlineStr">
        <is>
          <t>연간 리포트 1건</t>
        </is>
      </c>
      <c r="B15" s="9" t="n">
        <v>0.016</v>
      </c>
      <c r="C15" s="2" t="inlineStr">
        <is>
          <t>운영 로그 호출 평균 (확인됨)</t>
        </is>
      </c>
    </row>
    <row r="16">
      <c r="A16" s="2" t="inlineStr">
        <is>
          <t>Q&amp;A 질문 1회</t>
        </is>
      </c>
      <c r="B16" s="9" t="n">
        <v>0.0033</v>
      </c>
      <c r="C16" s="2" t="inlineStr">
        <is>
          <t>운영 로그 평균 (확인됨, 표본 76)</t>
        </is>
      </c>
    </row>
    <row r="17">
      <c r="A17" s="4" t="inlineStr">
        <is>
          <t>무료 사용자 행동 (가정)</t>
        </is>
      </c>
      <c r="B17" s="5" t="n"/>
      <c r="C17" s="5" t="n"/>
    </row>
    <row r="18">
      <c r="A18" s="2" t="inlineStr">
        <is>
          <t>상담 1세트까지 가는 설치 비율</t>
        </is>
      </c>
      <c r="B18" s="8" t="n">
        <v>0.4</v>
      </c>
      <c r="C18" s="2" t="inlineStr">
        <is>
          <t>가정. 실제 퍼널 데이터로 교체</t>
        </is>
      </c>
    </row>
    <row r="19">
      <c r="A19" s="2" t="inlineStr">
        <is>
          <t>딥 리포트 생성하는 설치 비율</t>
        </is>
      </c>
      <c r="B19" s="8" t="n">
        <v>0.25</v>
      </c>
      <c r="C19" s="2" t="inlineStr">
        <is>
          <t>가정. 실제 퍼널 데이터로 교체</t>
        </is>
      </c>
    </row>
    <row r="20">
      <c r="A20" s="2" t="inlineStr">
        <is>
          <t>설치당 평균 Q&amp;A 질문 수 (90일)</t>
        </is>
      </c>
      <c r="B20" s="10" t="n">
        <v>7</v>
      </c>
      <c r="C20" s="2" t="inlineStr">
        <is>
          <t>가정: 무료 하루 1회 × 약 7일</t>
        </is>
      </c>
    </row>
    <row r="21">
      <c r="A21" s="4" t="inlineStr">
        <is>
          <t>구독자 행동 (가정)</t>
        </is>
      </c>
      <c r="B21" s="5" t="n"/>
      <c r="C21" s="5" t="n"/>
    </row>
    <row r="22">
      <c r="A22" s="2" t="inlineStr">
        <is>
          <t>구독자 월 평균 Q&amp;A 질문 수</t>
        </is>
      </c>
      <c r="B22" s="10" t="n">
        <v>120</v>
      </c>
      <c r="C22" s="2" t="inlineStr">
        <is>
          <t>가정: 한도(10회/일 = 300회)의 40%</t>
        </is>
      </c>
    </row>
    <row r="23">
      <c r="A23" s="2" t="inlineStr">
        <is>
          <t>구독자 90일 내 평균 결제 개월</t>
        </is>
      </c>
      <c r="B23" s="11" t="n">
        <v>1.5</v>
      </c>
      <c r="C23" s="2" t="inlineStr">
        <is>
          <t>가정: 체험·이탈 반영</t>
        </is>
      </c>
    </row>
    <row r="24">
      <c r="A24" s="4" t="inlineStr">
        <is>
          <t>마케팅 지출</t>
        </is>
      </c>
      <c r="B24" s="5" t="n"/>
      <c r="C24" s="5" t="n"/>
    </row>
    <row r="25">
      <c r="A25" s="2" t="inlineStr">
        <is>
          <t>유료 증폭 지출</t>
        </is>
      </c>
      <c r="B25" s="12" t="n">
        <v>200</v>
      </c>
      <c r="C25" s="2" t="inlineStr">
        <is>
          <t>MARKETING_SPEC.md 배분 (확인됨)</t>
        </is>
      </c>
    </row>
    <row r="26">
      <c r="A26" s="2" t="inlineStr">
        <is>
          <t>크리에이터 시딩 지출</t>
        </is>
      </c>
      <c r="B26" s="12" t="n">
        <v>150</v>
      </c>
      <c r="C26" s="2" t="inlineStr">
        <is>
          <t>MARKETING_SPEC.md 배분 (확인됨)</t>
        </is>
      </c>
    </row>
    <row r="27">
      <c r="A27" s="2" t="inlineStr">
        <is>
          <t>제작·ASO 도구 지출</t>
        </is>
      </c>
      <c r="B27" s="12" t="n">
        <v>75</v>
      </c>
      <c r="C27" s="2" t="inlineStr">
        <is>
          <t>MARKETING_SPEC.md $50~100의 중간</t>
        </is>
      </c>
    </row>
    <row r="28">
      <c r="A28" s="2" t="inlineStr">
        <is>
          <t>유료 증폭 설치당 비용 (CPI)</t>
        </is>
      </c>
      <c r="B28" s="7" t="n">
        <v>3</v>
      </c>
      <c r="C28" s="2" t="inlineStr">
        <is>
          <t>가정: CPI 자료 없음. 직접 테스트로 교체</t>
        </is>
      </c>
    </row>
    <row r="29">
      <c r="A29" s="4" t="inlineStr">
        <is>
          <t>고정비</t>
        </is>
      </c>
      <c r="B29" s="5" t="n"/>
      <c r="C29" s="5" t="n"/>
    </row>
    <row r="30">
      <c r="A30" s="2" t="inlineStr">
        <is>
          <t>서버·DB 등 월 고정비</t>
        </is>
      </c>
      <c r="B30" s="13" t="n">
        <v>0</v>
      </c>
      <c r="C30" s="2" t="inlineStr">
        <is>
          <t>확인 필요: Vercel·Supabase·도메인 실제 청구액 입력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56" customWidth="1" min="3" max="3"/>
  </cols>
  <sheetData>
    <row r="1">
      <c r="A1" s="1" t="inlineStr">
        <is>
          <t>사용자 1명당 AI 비용과 매출</t>
        </is>
      </c>
    </row>
    <row r="3">
      <c r="A3" s="3" t="inlineStr">
        <is>
          <t>항목</t>
        </is>
      </c>
      <c r="B3" s="3" t="inlineStr">
        <is>
          <t>값</t>
        </is>
      </c>
      <c r="C3" s="3" t="inlineStr">
        <is>
          <t>설명</t>
        </is>
      </c>
    </row>
    <row r="4">
      <c r="A4" s="2" t="inlineStr">
        <is>
          <t>설치당 AI 비용 (무료 사용자 평균)</t>
        </is>
      </c>
      <c r="B4" s="14">
        <f>입력!$B$13*입력!$B$18+입력!$B$14*입력!$B$19+입력!$B$16*입력!$B$20</f>
        <v/>
      </c>
      <c r="C4" s="2" t="inlineStr">
        <is>
          <t>상담 + 리포트 + Q&amp;A의 행동 비율 가중합</t>
        </is>
      </c>
    </row>
    <row r="5">
      <c r="A5" s="2" t="inlineStr">
        <is>
          <t>구독자 추가 AI 비용 (월)</t>
        </is>
      </c>
      <c r="B5" s="14">
        <f>입력!$B$16*입력!$B$22</f>
        <v/>
      </c>
      <c r="C5" s="2" t="inlineStr">
        <is>
          <t>Q&amp;A 단가 × 월 질문 수</t>
        </is>
      </c>
    </row>
    <row r="6">
      <c r="A6" s="2" t="inlineStr">
        <is>
          <t>구독자 월 순매출</t>
        </is>
      </c>
      <c r="B6" s="15">
        <f>입력!$B$6*(1-입력!$B$9)*(1-입력!$B$10)*(1-입력!$B$11)</f>
        <v/>
      </c>
      <c r="C6" s="2" t="inlineStr">
        <is>
          <t>수수료·환불·RevenueCat 차감 후</t>
        </is>
      </c>
    </row>
    <row r="7">
      <c r="A7" s="2" t="inlineStr">
        <is>
          <t>구독자 월 마진 (AI 비용 차감)</t>
        </is>
      </c>
      <c r="B7" s="15">
        <f>B6-B5</f>
        <v/>
      </c>
      <c r="C7" s="2" t="inlineStr">
        <is>
          <t>구독 1명이 한 달에 남기는 돈</t>
        </is>
      </c>
    </row>
    <row r="8">
      <c r="A8" s="2" t="inlineStr">
        <is>
          <t>딥 리포트 1건 순매출</t>
        </is>
      </c>
      <c r="B8" s="15">
        <f>입력!$B$7*(1-입력!$B$9)*(1-입력!$B$10)*(1-입력!$B$11)</f>
        <v/>
      </c>
      <c r="C8" s="2" t="inlineStr"/>
    </row>
    <row r="9">
      <c r="A9" s="2" t="inlineStr">
        <is>
          <t>딥 리포트 1건 마진</t>
        </is>
      </c>
      <c r="B9" s="15">
        <f>B8-입력!$B$14</f>
        <v/>
      </c>
      <c r="C9" s="2" t="inlineStr"/>
    </row>
    <row r="10">
      <c r="A10" s="2" t="inlineStr">
        <is>
          <t>구독자 최대 사용 시 월 AI 비용</t>
        </is>
      </c>
      <c r="B10" s="14">
        <f>입력!$B$16*300</f>
        <v/>
      </c>
      <c r="C10" s="2" t="inlineStr">
        <is>
          <t>하루 10회 × 30일 전부 사용 (상한)</t>
        </is>
      </c>
    </row>
    <row r="11">
      <c r="A11" s="2" t="inlineStr">
        <is>
          <t>최대 사용 시에도 월 마진 양수?</t>
        </is>
      </c>
      <c r="B11" s="2">
        <f>IF(B6-B10&gt;0,"예","아니오")</f>
        <v/>
      </c>
      <c r="C11" s="2" t="inlineStr">
        <is>
          <t>구독 한도가 적자를 만들지 않는지 점검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72" customWidth="1" min="5" max="5"/>
  </cols>
  <sheetData>
    <row r="1">
      <c r="A1" s="1" t="inlineStr">
        <is>
          <t>90일 시나리오 (승인 후)</t>
        </is>
      </c>
    </row>
    <row r="2">
      <c r="A2" s="2" t="inlineStr">
        <is>
          <t>설치·전환율은 2026-10-19 예측가 3명의 합의 범위(추정). 파란 칸을 바꾸면 전부 다시 계산됩니다.</t>
        </is>
      </c>
    </row>
    <row r="4">
      <c r="A4" s="3" t="inlineStr">
        <is>
          <t>항목</t>
        </is>
      </c>
      <c r="B4" s="3" t="inlineStr">
        <is>
          <t>P10 (나쁨)</t>
        </is>
      </c>
      <c r="C4" s="3" t="inlineStr">
        <is>
          <t>P50 (중앙)</t>
        </is>
      </c>
      <c r="D4" s="3" t="inlineStr">
        <is>
          <t>P90 (터짐)</t>
        </is>
      </c>
      <c r="E4" s="3" t="inlineStr">
        <is>
          <t>비고</t>
        </is>
      </c>
    </row>
    <row r="5">
      <c r="A5" s="2" t="inlineStr">
        <is>
          <t>총 설치</t>
        </is>
      </c>
      <c r="B5" s="16" t="n">
        <v>60</v>
      </c>
      <c r="C5" s="16" t="n">
        <v>500</v>
      </c>
      <c r="D5" s="16" t="n">
        <v>4000</v>
      </c>
      <c r="E5" s="2" t="inlineStr">
        <is>
          <t>합의: P10 40~120, P50 400~600, P90 3천~8천 (추정)</t>
        </is>
      </c>
    </row>
    <row r="6">
      <c r="A6" s="2" t="inlineStr">
        <is>
          <t>설치→구독 전환율</t>
        </is>
      </c>
      <c r="B6" s="17" t="n">
        <v>0.005</v>
      </c>
      <c r="C6" s="17" t="n">
        <v>0.012</v>
      </c>
      <c r="D6" s="17" t="n">
        <v>0.025</v>
      </c>
      <c r="E6" s="2" t="inlineStr">
        <is>
          <t>RevenueCat 중앙값 2.0%를 콜드스타트로 하향 (중앙값 확인됨, 조정은 추정)</t>
        </is>
      </c>
    </row>
    <row r="7">
      <c r="A7" s="2" t="inlineStr">
        <is>
          <t>설치→리포트 구매율</t>
        </is>
      </c>
      <c r="B7" s="17" t="n">
        <v>0.003</v>
      </c>
      <c r="C7" s="17" t="n">
        <v>0.008</v>
      </c>
      <c r="D7" s="17" t="n">
        <v>0.012</v>
      </c>
      <c r="E7" s="2" t="inlineStr">
        <is>
          <t>예측가 제시치에서 환산 (추정)</t>
        </is>
      </c>
    </row>
    <row r="8">
      <c r="A8" s="2" t="inlineStr">
        <is>
          <t>설치→연간 리포트 구매율</t>
        </is>
      </c>
      <c r="B8" s="17" t="n">
        <v>0</v>
      </c>
      <c r="C8" s="17" t="n">
        <v>0.003</v>
      </c>
      <c r="D8" s="17" t="n">
        <v>0.008</v>
      </c>
      <c r="E8" s="2" t="inlineStr">
        <is>
          <t>12/1 이후 시즌 효과 (추정, 근거 약함)</t>
        </is>
      </c>
    </row>
    <row r="9">
      <c r="A9" s="18" t="inlineStr">
        <is>
          <t>계산</t>
        </is>
      </c>
    </row>
    <row r="10">
      <c r="A10" s="2" t="inlineStr">
        <is>
          <t>구독자 수</t>
        </is>
      </c>
      <c r="B10" s="19">
        <f>B5*B6</f>
        <v/>
      </c>
      <c r="C10" s="19">
        <f>C5*C6</f>
        <v/>
      </c>
      <c r="D10" s="19">
        <f>D5*D6</f>
        <v/>
      </c>
    </row>
    <row r="11">
      <c r="A11" s="2" t="inlineStr">
        <is>
          <t>딥 리포트 판매 수</t>
        </is>
      </c>
      <c r="B11" s="19">
        <f>B5*B7</f>
        <v/>
      </c>
      <c r="C11" s="19">
        <f>C5*C7</f>
        <v/>
      </c>
      <c r="D11" s="19">
        <f>D5*D7</f>
        <v/>
      </c>
    </row>
    <row r="12">
      <c r="A12" s="2" t="inlineStr">
        <is>
          <t>연간 리포트 판매 수</t>
        </is>
      </c>
      <c r="B12" s="19">
        <f>B5*B8</f>
        <v/>
      </c>
      <c r="C12" s="19">
        <f>C5*C8</f>
        <v/>
      </c>
      <c r="D12" s="19">
        <f>D5*D8</f>
        <v/>
      </c>
    </row>
    <row r="13">
      <c r="A13" s="2" t="inlineStr">
        <is>
          <t>구독 총매출</t>
        </is>
      </c>
      <c r="B13" s="20">
        <f>B10*입력!$B$6*입력!$B$23</f>
        <v/>
      </c>
      <c r="C13" s="20">
        <f>C10*입력!$B$6*입력!$B$23</f>
        <v/>
      </c>
      <c r="D13" s="20">
        <f>D10*입력!$B$6*입력!$B$23</f>
        <v/>
      </c>
    </row>
    <row r="14">
      <c r="A14" s="2" t="inlineStr">
        <is>
          <t>딥 리포트 총매출</t>
        </is>
      </c>
      <c r="B14" s="20">
        <f>B11*입력!$B$7</f>
        <v/>
      </c>
      <c r="C14" s="20">
        <f>C11*입력!$B$7</f>
        <v/>
      </c>
      <c r="D14" s="20">
        <f>D11*입력!$B$7</f>
        <v/>
      </c>
    </row>
    <row r="15">
      <c r="A15" s="2" t="inlineStr">
        <is>
          <t>연간 리포트 총매출</t>
        </is>
      </c>
      <c r="B15" s="20">
        <f>B12*입력!$B$8</f>
        <v/>
      </c>
      <c r="C15" s="20">
        <f>C12*입력!$B$8</f>
        <v/>
      </c>
      <c r="D15" s="20">
        <f>D12*입력!$B$8</f>
        <v/>
      </c>
    </row>
    <row r="16">
      <c r="A16" s="18" t="inlineStr">
        <is>
          <t>총매출 합계</t>
        </is>
      </c>
      <c r="B16" s="20">
        <f>B13+B14+B15</f>
        <v/>
      </c>
      <c r="C16" s="20">
        <f>C13+C14+C15</f>
        <v/>
      </c>
      <c r="D16" s="20">
        <f>D13+D14+D15</f>
        <v/>
      </c>
    </row>
    <row r="17">
      <c r="A17" s="2" t="inlineStr">
        <is>
          <t>(−) 스토어·환불·RevenueCat</t>
        </is>
      </c>
      <c r="B17" s="20">
        <f>-B16*(1-(1-입력!$B$9)*(1-입력!$B$10)*(1-입력!$B$11))</f>
        <v/>
      </c>
      <c r="C17" s="20">
        <f>-C16*(1-(1-입력!$B$9)*(1-입력!$B$10)*(1-입력!$B$11))</f>
        <v/>
      </c>
      <c r="D17" s="20">
        <f>-D16*(1-(1-입력!$B$9)*(1-입력!$B$10)*(1-입력!$B$11))</f>
        <v/>
      </c>
    </row>
    <row r="18">
      <c r="A18" s="18" t="inlineStr">
        <is>
          <t>순매출</t>
        </is>
      </c>
      <c r="B18" s="20">
        <f>B16+B17</f>
        <v/>
      </c>
      <c r="C18" s="20">
        <f>C16+C17</f>
        <v/>
      </c>
      <c r="D18" s="20">
        <f>D16+D17</f>
        <v/>
      </c>
    </row>
    <row r="19">
      <c r="A19" s="2" t="inlineStr">
        <is>
          <t>(−) 무료 사용자 AI 비용</t>
        </is>
      </c>
      <c r="B19" s="20">
        <f>-B5*사용자당!$B$4</f>
        <v/>
      </c>
      <c r="C19" s="20">
        <f>-C5*사용자당!$B$4</f>
        <v/>
      </c>
      <c r="D19" s="20">
        <f>-D5*사용자당!$B$4</f>
        <v/>
      </c>
    </row>
    <row r="20">
      <c r="A20" s="2" t="inlineStr">
        <is>
          <t>(−) 구독자 추가 AI 비용</t>
        </is>
      </c>
      <c r="B20" s="20">
        <f>-B10*사용자당!$B$5*입력!$B$23</f>
        <v/>
      </c>
      <c r="C20" s="20">
        <f>-C10*사용자당!$B$5*입력!$B$23</f>
        <v/>
      </c>
      <c r="D20" s="20">
        <f>-D10*사용자당!$B$5*입력!$B$23</f>
        <v/>
      </c>
    </row>
    <row r="21">
      <c r="A21" s="2" t="inlineStr">
        <is>
          <t>(−) 구매 리포트 AI 비용</t>
        </is>
      </c>
      <c r="B21" s="20">
        <f>-(B11*입력!$B$14+B12*입력!$B$15)</f>
        <v/>
      </c>
      <c r="C21" s="20">
        <f>-(C11*입력!$B$14+C12*입력!$B$15)</f>
        <v/>
      </c>
      <c r="D21" s="20">
        <f>-(D11*입력!$B$14+D12*입력!$B$15)</f>
        <v/>
      </c>
    </row>
    <row r="22">
      <c r="A22" s="2" t="inlineStr">
        <is>
          <t>(−) 마케팅 지출</t>
        </is>
      </c>
      <c r="B22" s="20">
        <f>-(입력!$B$25+입력!$B$26+입력!$B$27)</f>
        <v/>
      </c>
      <c r="C22" s="20">
        <f>-(입력!$B$25+입력!$B$26+입력!$B$27)</f>
        <v/>
      </c>
      <c r="D22" s="20">
        <f>-(입력!$B$25+입력!$B$26+입력!$B$27)</f>
        <v/>
      </c>
    </row>
    <row r="23">
      <c r="A23" s="2" t="inlineStr">
        <is>
          <t>(−) 고정비 (3개월)</t>
        </is>
      </c>
      <c r="B23" s="20">
        <f>-입력!$B$30*3</f>
        <v/>
      </c>
      <c r="C23" s="20">
        <f>-입력!$B$30*3</f>
        <v/>
      </c>
      <c r="D23" s="20">
        <f>-입력!$B$30*3</f>
        <v/>
      </c>
    </row>
    <row r="24">
      <c r="A24" s="18" t="inlineStr">
        <is>
          <t>90일 순이익</t>
        </is>
      </c>
      <c r="B24" s="21">
        <f>B18+B19+B20+B21+B22+B23</f>
        <v/>
      </c>
      <c r="C24" s="21">
        <f>C18+C19+C20+C21+C22+C23</f>
        <v/>
      </c>
      <c r="D24" s="21">
        <f>D18+D19+D20+D21+D22+D23</f>
        <v/>
      </c>
    </row>
    <row r="25">
      <c r="A25" s="2" t="inlineStr">
        <is>
          <t>마케팅·고정비 제외 이익 (공헌이익)</t>
        </is>
      </c>
      <c r="B25" s="20">
        <f>B18+B19+B20+B21</f>
        <v/>
      </c>
      <c r="C25" s="20">
        <f>C18+C19+C20+C21</f>
        <v/>
      </c>
      <c r="D25" s="20">
        <f>D18+D19+D20+D21</f>
        <v/>
      </c>
    </row>
    <row r="26">
      <c r="A26" s="2" t="inlineStr">
        <is>
          <t>설치당 공헌이익</t>
        </is>
      </c>
      <c r="B26" s="15">
        <f>IF(B5=0,0,B25/B5)</f>
        <v/>
      </c>
      <c r="C26" s="15">
        <f>IF(C5=0,0,C25/C5)</f>
        <v/>
      </c>
      <c r="D26" s="15">
        <f>IF(D5=0,0,D25/D5)</f>
        <v/>
      </c>
    </row>
    <row r="27">
      <c r="A27" s="2" t="inlineStr">
        <is>
          <t>유료 증폭 설치 수 (CPI 기준)</t>
        </is>
      </c>
      <c r="B27" s="19">
        <f>MIN(B5,입력!$B$25/입력!$B$28)</f>
        <v/>
      </c>
      <c r="C27" s="19">
        <f>MIN(C5,입력!$B$25/입력!$B$28)</f>
        <v/>
      </c>
      <c r="D27" s="19">
        <f>MIN(D5,입력!$B$25/입력!$B$28)</f>
        <v/>
      </c>
    </row>
    <row r="29">
      <c r="A29" s="18" t="inlineStr">
        <is>
          <t>해석 메모</t>
        </is>
      </c>
    </row>
    <row r="30">
      <c r="A30" s="2" t="inlineStr">
        <is>
          <t>· 이 표의 총매출은 90일 누적이며, MRR이 아니라 결제된 개월 수 기준입니다.</t>
        </is>
      </c>
    </row>
    <row r="31">
      <c r="A31" s="2" t="inlineStr">
        <is>
          <t>· 마케팅은 설치 수와 연동하지 않고 한도 지출액을 전부 쓴다고 가정합니다(보수적).</t>
        </is>
      </c>
    </row>
    <row r="32">
      <c r="A32" s="2" t="inlineStr">
        <is>
          <t>· 설치 수는 합의 범위의 추정이며, 실측 전에는 방향을 보는 용도입니다.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설치 1건당 손익: 광고비(CPI)와 설치당 총매출에 따라</t>
        </is>
      </c>
    </row>
    <row r="2">
      <c r="A2" s="2" t="inlineStr">
        <is>
          <t>셀 값 = 설치당 총매출 × (1−수수료)(1−환불)(1−RC) − 설치당 AI 비용 − CPI. 음수(괄호)면 그 설치는 적자입니다.</t>
        </is>
      </c>
    </row>
    <row r="4">
      <c r="A4" s="2" t="inlineStr">
        <is>
          <t>설치당 순매출 환산계수</t>
        </is>
      </c>
      <c r="B4" s="22">
        <f>(1-입력!$B$9)*(1-입력!$B$10)*(1-입력!$B$11)</f>
        <v/>
      </c>
    </row>
    <row r="5">
      <c r="A5" s="2" t="inlineStr">
        <is>
          <t>설치당 AI 비용</t>
        </is>
      </c>
      <c r="B5" s="14">
        <f>사용자당!B4</f>
        <v/>
      </c>
    </row>
    <row r="6">
      <c r="A6" s="18" t="inlineStr">
        <is>
          <t>손익분기 CPI (설치당 총매출 $0.30 기준)</t>
        </is>
      </c>
      <c r="B6" s="23">
        <f>0.3*B4-B5</f>
        <v/>
      </c>
      <c r="C6" s="2" t="inlineStr">
        <is>
          <t>← 총매출 $0.30/설치(RevenueCat 60일 중앙값 부근)일 때 이 CPI 이하여야 흑자</t>
        </is>
      </c>
    </row>
    <row r="8">
      <c r="A8" s="3" t="inlineStr">
        <is>
          <t>CPI ↓ / 설치당 총매출 →</t>
        </is>
      </c>
      <c r="B8" s="24" t="n">
        <v>0.15</v>
      </c>
      <c r="C8" s="24" t="n">
        <v>0.25</v>
      </c>
      <c r="D8" s="24" t="n">
        <v>0.34</v>
      </c>
      <c r="E8" s="24" t="n">
        <v>0.5</v>
      </c>
      <c r="F8" s="24" t="n">
        <v>0.75</v>
      </c>
      <c r="G8" s="24" t="n">
        <v>1</v>
      </c>
    </row>
    <row r="9">
      <c r="A9" s="6" t="n">
        <v>0</v>
      </c>
      <c r="B9" s="25">
        <f>B$8*$B$4-$B$5-$A9</f>
        <v/>
      </c>
      <c r="C9" s="25">
        <f>C$8*$B$4-$B$5-$A9</f>
        <v/>
      </c>
      <c r="D9" s="25">
        <f>D$8*$B$4-$B$5-$A9</f>
        <v/>
      </c>
      <c r="E9" s="25">
        <f>E$8*$B$4-$B$5-$A9</f>
        <v/>
      </c>
      <c r="F9" s="25">
        <f>F$8*$B$4-$B$5-$A9</f>
        <v/>
      </c>
      <c r="G9" s="25">
        <f>G$8*$B$4-$B$5-$A9</f>
        <v/>
      </c>
    </row>
    <row r="10">
      <c r="A10" s="6" t="n">
        <v>0.25</v>
      </c>
      <c r="B10" s="25">
        <f>B$8*$B$4-$B$5-$A10</f>
        <v/>
      </c>
      <c r="C10" s="25">
        <f>C$8*$B$4-$B$5-$A10</f>
        <v/>
      </c>
      <c r="D10" s="25">
        <f>D$8*$B$4-$B$5-$A10</f>
        <v/>
      </c>
      <c r="E10" s="25">
        <f>E$8*$B$4-$B$5-$A10</f>
        <v/>
      </c>
      <c r="F10" s="25">
        <f>F$8*$B$4-$B$5-$A10</f>
        <v/>
      </c>
      <c r="G10" s="25">
        <f>G$8*$B$4-$B$5-$A10</f>
        <v/>
      </c>
    </row>
    <row r="11">
      <c r="A11" s="6" t="n">
        <v>0.5</v>
      </c>
      <c r="B11" s="25">
        <f>B$8*$B$4-$B$5-$A11</f>
        <v/>
      </c>
      <c r="C11" s="25">
        <f>C$8*$B$4-$B$5-$A11</f>
        <v/>
      </c>
      <c r="D11" s="25">
        <f>D$8*$B$4-$B$5-$A11</f>
        <v/>
      </c>
      <c r="E11" s="25">
        <f>E$8*$B$4-$B$5-$A11</f>
        <v/>
      </c>
      <c r="F11" s="25">
        <f>F$8*$B$4-$B$5-$A11</f>
        <v/>
      </c>
      <c r="G11" s="25">
        <f>G$8*$B$4-$B$5-$A11</f>
        <v/>
      </c>
    </row>
    <row r="12">
      <c r="A12" s="6" t="n">
        <v>1</v>
      </c>
      <c r="B12" s="25">
        <f>B$8*$B$4-$B$5-$A12</f>
        <v/>
      </c>
      <c r="C12" s="25">
        <f>C$8*$B$4-$B$5-$A12</f>
        <v/>
      </c>
      <c r="D12" s="25">
        <f>D$8*$B$4-$B$5-$A12</f>
        <v/>
      </c>
      <c r="E12" s="25">
        <f>E$8*$B$4-$B$5-$A12</f>
        <v/>
      </c>
      <c r="F12" s="25">
        <f>F$8*$B$4-$B$5-$A12</f>
        <v/>
      </c>
      <c r="G12" s="25">
        <f>G$8*$B$4-$B$5-$A12</f>
        <v/>
      </c>
    </row>
    <row r="13">
      <c r="A13" s="6" t="n">
        <v>2</v>
      </c>
      <c r="B13" s="25">
        <f>B$8*$B$4-$B$5-$A13</f>
        <v/>
      </c>
      <c r="C13" s="25">
        <f>C$8*$B$4-$B$5-$A13</f>
        <v/>
      </c>
      <c r="D13" s="25">
        <f>D$8*$B$4-$B$5-$A13</f>
        <v/>
      </c>
      <c r="E13" s="25">
        <f>E$8*$B$4-$B$5-$A13</f>
        <v/>
      </c>
      <c r="F13" s="25">
        <f>F$8*$B$4-$B$5-$A13</f>
        <v/>
      </c>
      <c r="G13" s="25">
        <f>G$8*$B$4-$B$5-$A13</f>
        <v/>
      </c>
    </row>
    <row r="14">
      <c r="A14" s="6" t="n">
        <v>3</v>
      </c>
      <c r="B14" s="25">
        <f>B$8*$B$4-$B$5-$A14</f>
        <v/>
      </c>
      <c r="C14" s="25">
        <f>C$8*$B$4-$B$5-$A14</f>
        <v/>
      </c>
      <c r="D14" s="25">
        <f>D$8*$B$4-$B$5-$A14</f>
        <v/>
      </c>
      <c r="E14" s="25">
        <f>E$8*$B$4-$B$5-$A14</f>
        <v/>
      </c>
      <c r="F14" s="25">
        <f>F$8*$B$4-$B$5-$A14</f>
        <v/>
      </c>
      <c r="G14" s="25">
        <f>G$8*$B$4-$B$5-$A14</f>
        <v/>
      </c>
    </row>
    <row r="15">
      <c r="A15" s="6" t="n">
        <v>4</v>
      </c>
      <c r="B15" s="25">
        <f>B$8*$B$4-$B$5-$A15</f>
        <v/>
      </c>
      <c r="C15" s="25">
        <f>C$8*$B$4-$B$5-$A15</f>
        <v/>
      </c>
      <c r="D15" s="25">
        <f>D$8*$B$4-$B$5-$A15</f>
        <v/>
      </c>
      <c r="E15" s="25">
        <f>E$8*$B$4-$B$5-$A15</f>
        <v/>
      </c>
      <c r="F15" s="25">
        <f>F$8*$B$4-$B$5-$A15</f>
        <v/>
      </c>
      <c r="G15" s="25">
        <f>G$8*$B$4-$B$5-$A15</f>
        <v/>
      </c>
    </row>
    <row r="16">
      <c r="A16" s="6" t="n">
        <v>5</v>
      </c>
      <c r="B16" s="25">
        <f>B$8*$B$4-$B$5-$A16</f>
        <v/>
      </c>
      <c r="C16" s="25">
        <f>C$8*$B$4-$B$5-$A16</f>
        <v/>
      </c>
      <c r="D16" s="25">
        <f>D$8*$B$4-$B$5-$A16</f>
        <v/>
      </c>
      <c r="E16" s="25">
        <f>E$8*$B$4-$B$5-$A16</f>
        <v/>
      </c>
      <c r="F16" s="25">
        <f>F$8*$B$4-$B$5-$A16</f>
        <v/>
      </c>
      <c r="G16" s="25">
        <f>G$8*$B$4-$B$5-$A16</f>
        <v/>
      </c>
    </row>
    <row r="18">
      <c r="A18" s="2" t="inlineStr">
        <is>
          <t>읽는 법: 오가닉·시딩 유입(CPI 약 $0)은 설치당 총매출이 $0.15만 돼도 흑자입니다. 유료 증폭(CPI $2~4)은 설치당 총매출이 $1.00이어도(RevenueCat 중앙값의 약 3배) 적자입니다. 손익분기 CPI는 위 B6 값이고, 설치당 총매출 $1.00일 때도 약 $0.75입니다.</t>
        </is>
      </c>
    </row>
    <row r="19">
      <c r="A19" s="2" t="inlineStr">
        <is>
          <t>0.34 = RevenueCat 2026판 60일 설치당 매출 중앙값(확인됨). 나머지 열은 시나리오용 임의 값입니다.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52" customWidth="1" min="6" max="6"/>
  </cols>
  <sheetData>
    <row r="1">
      <c r="A1" s="1" t="inlineStr">
        <is>
          <t>월 순이익 목표에서 거꾸로 계산: 필요한 설치·구독자 수</t>
        </is>
      </c>
    </row>
    <row r="2">
      <c r="A2" s="2" t="inlineStr">
        <is>
          <t>정상 상태(매달 같은 수준이 유지될 때) 기준입니다. 파란 칸을 바꾸면 전부 다시 계산됩니다. 소득세는 포함하지 않습니다.</t>
        </is>
      </c>
    </row>
    <row r="4">
      <c r="A4" t="inlineStr">
        <is>
          <t>목표 월 순이익 (원)</t>
        </is>
      </c>
      <c r="B4" s="26" t="n">
        <v>5000000</v>
      </c>
    </row>
    <row r="5">
      <c r="A5" t="inlineStr">
        <is>
          <t>환율 (원/달러)</t>
        </is>
      </c>
      <c r="B5" s="27" t="n">
        <v>1400</v>
      </c>
      <c r="C5" s="2" t="inlineStr">
        <is>
          <t>가정. 실제 환율로 교체</t>
        </is>
      </c>
    </row>
    <row r="6">
      <c r="A6" t="inlineStr">
        <is>
          <t>목표 월 순이익 (달러)</t>
        </is>
      </c>
      <c r="B6" s="20">
        <f>B4/B5</f>
        <v/>
      </c>
    </row>
    <row r="7">
      <c r="A7" t="inlineStr">
        <is>
          <t>월 마케팅 지출 (달러)</t>
        </is>
      </c>
      <c r="B7" s="12" t="n">
        <v>500</v>
      </c>
      <c r="C7" s="2" t="inlineStr">
        <is>
          <t>MARKETING_SPEC.md 월 예산 $500 (확인됨)</t>
        </is>
      </c>
    </row>
    <row r="8">
      <c r="A8" t="inlineStr">
        <is>
          <t>월 고정비 (달러)</t>
        </is>
      </c>
      <c r="B8" s="28">
        <f>입력!$B$30</f>
        <v/>
      </c>
      <c r="C8" s="2" t="inlineStr">
        <is>
          <t>입력 탭의 값. 실제 청구액으로 교체 필요</t>
        </is>
      </c>
    </row>
    <row r="9">
      <c r="A9" t="inlineStr">
        <is>
          <t>순매출 환산계수</t>
        </is>
      </c>
      <c r="B9" s="29">
        <f>'CPI 민감도'!B4</f>
        <v/>
      </c>
    </row>
    <row r="11">
      <c r="A11" s="3" t="inlineStr">
        <is>
          <t>항목</t>
        </is>
      </c>
      <c r="B11" s="3" t="inlineStr">
        <is>
          <t>A 보수</t>
        </is>
      </c>
      <c r="C11" s="3" t="inlineStr">
        <is>
          <t>B 중간</t>
        </is>
      </c>
      <c r="D11" s="3" t="inlineStr">
        <is>
          <t>C 낙관</t>
        </is>
      </c>
      <c r="E11" s="3" t="inlineStr">
        <is>
          <t>D 중간+가격 $9.99</t>
        </is>
      </c>
    </row>
    <row r="12">
      <c r="A12" s="2" t="inlineStr">
        <is>
          <t>구독 월 가격</t>
        </is>
      </c>
      <c r="B12" s="15">
        <f>입력!$B$6</f>
        <v/>
      </c>
      <c r="C12" s="15">
        <f>입력!$B$6</f>
        <v/>
      </c>
      <c r="D12" s="15">
        <f>입력!$B$6</f>
        <v/>
      </c>
      <c r="E12" s="6" t="n">
        <v>9.99</v>
      </c>
      <c r="F12" s="2" t="inlineStr">
        <is>
          <t>D만 가격 인상 가정 (입력값)</t>
        </is>
      </c>
    </row>
    <row r="13">
      <c r="A13" s="2" t="inlineStr">
        <is>
          <t>설치→구독 전환율</t>
        </is>
      </c>
      <c r="B13" s="17" t="n">
        <v>0.012</v>
      </c>
      <c r="C13" s="17" t="n">
        <v>0.018</v>
      </c>
      <c r="D13" s="17" t="n">
        <v>0.025</v>
      </c>
      <c r="E13" s="17" t="n">
        <v>0.018</v>
      </c>
      <c r="F13" s="2" t="inlineStr">
        <is>
          <t>RevenueCat 중앙값 2.0%(확인됨) 기준 조정 (추정)</t>
        </is>
      </c>
    </row>
    <row r="14">
      <c r="A14" s="2" t="inlineStr">
        <is>
          <t>구독자 월 이탈률</t>
        </is>
      </c>
      <c r="B14" s="17" t="n">
        <v>0.3</v>
      </c>
      <c r="C14" s="17" t="n">
        <v>0.25</v>
      </c>
      <c r="D14" s="17" t="n">
        <v>0.2</v>
      </c>
      <c r="E14" s="17" t="n">
        <v>0.25</v>
      </c>
      <c r="F14" s="2" t="inlineStr">
        <is>
          <t>근거 약함 (추정). 실측으로 교체</t>
        </is>
      </c>
    </row>
    <row r="15">
      <c r="A15" s="2" t="inlineStr">
        <is>
          <t>설치→딥 리포트 구매율</t>
        </is>
      </c>
      <c r="B15" s="17" t="n">
        <v>0.01</v>
      </c>
      <c r="C15" s="17" t="n">
        <v>0.015</v>
      </c>
      <c r="D15" s="17" t="n">
        <v>0.02</v>
      </c>
      <c r="E15" s="17" t="n">
        <v>0.015</v>
      </c>
      <c r="F15" s="2" t="inlineStr">
        <is>
          <t>추정</t>
        </is>
      </c>
    </row>
    <row r="16">
      <c r="A16" s="18" t="inlineStr">
        <is>
          <t>계산</t>
        </is>
      </c>
    </row>
    <row r="17">
      <c r="A17" s="2" t="inlineStr">
        <is>
          <t>구독자 1명 월 마진</t>
        </is>
      </c>
      <c r="B17" s="15">
        <f>B12*$B$9-사용자당!$B$5</f>
        <v/>
      </c>
      <c r="C17" s="15">
        <f>C12*$B$9-사용자당!$B$5</f>
        <v/>
      </c>
      <c r="D17" s="15">
        <f>D12*$B$9-사용자당!$B$5</f>
        <v/>
      </c>
      <c r="E17" s="15">
        <f>E12*$B$9-사용자당!$B$5</f>
        <v/>
      </c>
    </row>
    <row r="18">
      <c r="A18" s="2" t="inlineStr">
        <is>
          <t>딥 리포트 1건 마진</t>
        </is>
      </c>
      <c r="B18" s="15">
        <f>입력!$B$7*$B$9-입력!$B$14</f>
        <v/>
      </c>
      <c r="C18" s="15">
        <f>입력!$B$7*$B$9-입력!$B$14</f>
        <v/>
      </c>
      <c r="D18" s="15">
        <f>입력!$B$7*$B$9-입력!$B$14</f>
        <v/>
      </c>
      <c r="E18" s="15">
        <f>입력!$B$7*$B$9-입력!$B$14</f>
        <v/>
      </c>
    </row>
    <row r="19">
      <c r="A19" s="2" t="inlineStr">
        <is>
          <t>정상 상태 구독자 / 월 신규 설치</t>
        </is>
      </c>
      <c r="B19" s="30">
        <f>B13/B14</f>
        <v/>
      </c>
      <c r="C19" s="30">
        <f>C13/C14</f>
        <v/>
      </c>
      <c r="D19" s="30">
        <f>D13/D14</f>
        <v/>
      </c>
      <c r="E19" s="30">
        <f>E13/E14</f>
        <v/>
      </c>
    </row>
    <row r="20">
      <c r="A20" s="2" t="inlineStr">
        <is>
          <t>설치 1건당 월 공헌이익</t>
        </is>
      </c>
      <c r="B20" s="15">
        <f>B19*B17+B15*B18-사용자당!$B$4</f>
        <v/>
      </c>
      <c r="C20" s="15">
        <f>C19*C17+C15*C18-사용자당!$B$4</f>
        <v/>
      </c>
      <c r="D20" s="15">
        <f>D19*D17+D15*D18-사용자당!$B$4</f>
        <v/>
      </c>
      <c r="E20" s="15">
        <f>E19*E17+E15*E18-사용자당!$B$4</f>
        <v/>
      </c>
    </row>
    <row r="21">
      <c r="A21" s="18" t="inlineStr">
        <is>
          <t>필요 월 신규 설치</t>
        </is>
      </c>
      <c r="B21" s="31">
        <f>($B$6+$B$7+$B$8)/B20</f>
        <v/>
      </c>
      <c r="C21" s="31">
        <f>($B$6+$B$7+$B$8)/C20</f>
        <v/>
      </c>
      <c r="D21" s="31">
        <f>($B$6+$B$7+$B$8)/D20</f>
        <v/>
      </c>
      <c r="E21" s="31">
        <f>($B$6+$B$7+$B$8)/E20</f>
        <v/>
      </c>
    </row>
    <row r="22">
      <c r="A22" s="2" t="inlineStr">
        <is>
          <t>필요 일 신규 설치</t>
        </is>
      </c>
      <c r="B22" s="19">
        <f>B21/30</f>
        <v/>
      </c>
      <c r="C22" s="19">
        <f>C21/30</f>
        <v/>
      </c>
      <c r="D22" s="19">
        <f>D21/30</f>
        <v/>
      </c>
      <c r="E22" s="19">
        <f>E21/30</f>
        <v/>
      </c>
    </row>
    <row r="23">
      <c r="A23" s="2" t="inlineStr">
        <is>
          <t>필요 활성 구독자</t>
        </is>
      </c>
      <c r="B23" s="19">
        <f>B21*B19</f>
        <v/>
      </c>
      <c r="C23" s="19">
        <f>C21*C19</f>
        <v/>
      </c>
      <c r="D23" s="19">
        <f>D21*D19</f>
        <v/>
      </c>
      <c r="E23" s="19">
        <f>E21*E19</f>
        <v/>
      </c>
    </row>
    <row r="24">
      <c r="A24" s="2" t="inlineStr">
        <is>
          <t>월 딥 리포트 판매</t>
        </is>
      </c>
      <c r="B24" s="19">
        <f>B21*B15</f>
        <v/>
      </c>
      <c r="C24" s="19">
        <f>C21*C15</f>
        <v/>
      </c>
      <c r="D24" s="19">
        <f>D21*D15</f>
        <v/>
      </c>
      <c r="E24" s="19">
        <f>E21*E15</f>
        <v/>
      </c>
    </row>
    <row r="25">
      <c r="A25" s="2" t="inlineStr">
        <is>
          <t>월 구독 매출 기여 (순)</t>
        </is>
      </c>
      <c r="B25" s="20">
        <f>B23*B17</f>
        <v/>
      </c>
      <c r="C25" s="20">
        <f>C23*C17</f>
        <v/>
      </c>
      <c r="D25" s="20">
        <f>D23*D17</f>
        <v/>
      </c>
      <c r="E25" s="20">
        <f>E23*E17</f>
        <v/>
      </c>
    </row>
    <row r="26">
      <c r="A26" s="2" t="inlineStr">
        <is>
          <t>월 리포트 매출 기여 (순)</t>
        </is>
      </c>
      <c r="B26" s="20">
        <f>B24*B18</f>
        <v/>
      </c>
      <c r="C26" s="20">
        <f>C24*C18</f>
        <v/>
      </c>
      <c r="D26" s="20">
        <f>D24*D18</f>
        <v/>
      </c>
      <c r="E26" s="20">
        <f>E24*E18</f>
        <v/>
      </c>
    </row>
    <row r="28">
      <c r="A28" s="18" t="inlineStr">
        <is>
          <t>유입에 필요한 조회수</t>
        </is>
      </c>
    </row>
    <row r="29">
      <c r="A29" t="inlineStr">
        <is>
          <t>조회→설치 전환율</t>
        </is>
      </c>
      <c r="B29" s="32" t="n">
        <v>0.002</v>
      </c>
      <c r="C29" s="2" t="inlineStr">
        <is>
          <t>가정 0.1~0.3%의 중간. 출처 없음. 첫 영상 데이터로 교체</t>
        </is>
      </c>
    </row>
    <row r="30">
      <c r="A30" s="2" t="inlineStr">
        <is>
          <t>필요 월 조회수 (전부 숏폼 유입일 때)</t>
        </is>
      </c>
      <c r="B30" s="19">
        <f>B21/$B$29</f>
        <v/>
      </c>
      <c r="C30" s="19">
        <f>C21/$B$29</f>
        <v/>
      </c>
      <c r="D30" s="19">
        <f>D21/$B$29</f>
        <v/>
      </c>
      <c r="E30" s="19">
        <f>E21/$B$29</f>
        <v/>
      </c>
    </row>
    <row r="31">
      <c r="A31" s="2" t="inlineStr">
        <is>
          <t>필요 월 조회수 (설치의 50%가 숏폼일 때)</t>
        </is>
      </c>
      <c r="B31" s="19">
        <f>B21*$B$32/$B$29</f>
        <v/>
      </c>
      <c r="C31" s="19">
        <f>C21*$B$32/$B$29</f>
        <v/>
      </c>
      <c r="D31" s="19">
        <f>D21*$B$32/$B$29</f>
        <v/>
      </c>
      <c r="E31" s="19">
        <f>E21*$B$32/$B$29</f>
        <v/>
      </c>
    </row>
    <row r="32">
      <c r="A32" s="2" t="inlineStr">
        <is>
          <t>숏폼 유입 비중</t>
        </is>
      </c>
      <c r="B32" s="17" t="n">
        <v>0.5</v>
      </c>
    </row>
    <row r="34">
      <c r="A34" s="18" t="inlineStr">
        <is>
          <t>성장 경로 (B 중간 시나리오 단가로 환산한 정상 상태 월 순이익)</t>
        </is>
      </c>
    </row>
    <row r="35">
      <c r="A35" s="3" t="inlineStr">
        <is>
          <t>시점</t>
        </is>
      </c>
      <c r="B35" s="3" t="inlineStr">
        <is>
          <t>월 신규 설치 (목표)</t>
        </is>
      </c>
      <c r="C35" s="3" t="inlineStr">
        <is>
          <t>월 순이익 ($)</t>
        </is>
      </c>
      <c r="D35" s="3" t="inlineStr">
        <is>
          <t>월 순이익 (원)</t>
        </is>
      </c>
      <c r="E35" s="3" t="inlineStr">
        <is>
          <t>목표 대비</t>
        </is>
      </c>
    </row>
    <row r="36">
      <c r="A36" s="2" t="inlineStr">
        <is>
          <t>3개월</t>
        </is>
      </c>
      <c r="B36" s="16" t="n">
        <v>450</v>
      </c>
      <c r="C36" s="20">
        <f>B36*$C$20-$B$7-$B$8</f>
        <v/>
      </c>
      <c r="D36" s="19">
        <f>C36*$B$5</f>
        <v/>
      </c>
      <c r="E36" s="33">
        <f>D36/$B$4</f>
        <v/>
      </c>
    </row>
    <row r="37">
      <c r="A37" s="2" t="inlineStr">
        <is>
          <t>6개월</t>
        </is>
      </c>
      <c r="B37" s="16" t="n">
        <v>2000</v>
      </c>
      <c r="C37" s="20">
        <f>B37*$C$20-$B$7-$B$8</f>
        <v/>
      </c>
      <c r="D37" s="19">
        <f>C37*$B$5</f>
        <v/>
      </c>
      <c r="E37" s="33">
        <f>D37/$B$4</f>
        <v/>
      </c>
    </row>
    <row r="38">
      <c r="A38" s="2" t="inlineStr">
        <is>
          <t>9개월</t>
        </is>
      </c>
      <c r="B38" s="16" t="n">
        <v>4000</v>
      </c>
      <c r="C38" s="20">
        <f>B38*$C$20-$B$7-$B$8</f>
        <v/>
      </c>
      <c r="D38" s="19">
        <f>C38*$B$5</f>
        <v/>
      </c>
      <c r="E38" s="33">
        <f>D38/$B$4</f>
        <v/>
      </c>
    </row>
    <row r="39">
      <c r="A39" s="2" t="inlineStr">
        <is>
          <t>12개월</t>
        </is>
      </c>
      <c r="B39" s="16" t="n">
        <v>6000</v>
      </c>
      <c r="C39" s="20">
        <f>B39*$C$20-$B$7-$B$8</f>
        <v/>
      </c>
      <c r="D39" s="19">
        <f>C39*$B$5</f>
        <v/>
      </c>
      <c r="E39" s="33">
        <f>D39/$B$4</f>
        <v/>
      </c>
    </row>
    <row r="40">
      <c r="A40" s="2" t="inlineStr">
        <is>
          <t>15개월</t>
        </is>
      </c>
      <c r="B40" s="16" t="n">
        <v>7000</v>
      </c>
      <c r="C40" s="20">
        <f>B40*$C$20-$B$7-$B$8</f>
        <v/>
      </c>
      <c r="D40" s="19">
        <f>C40*$B$5</f>
        <v/>
      </c>
      <c r="E40" s="33">
        <f>D40/$B$4</f>
        <v/>
      </c>
    </row>
    <row r="41">
      <c r="A41" s="2" t="inlineStr">
        <is>
          <t>18개월</t>
        </is>
      </c>
      <c r="B41" s="16" t="n">
        <v>8000</v>
      </c>
      <c r="C41" s="20">
        <f>B41*$C$20-$B$7-$B$8</f>
        <v/>
      </c>
      <c r="D41" s="19">
        <f>C41*$B$5</f>
        <v/>
      </c>
      <c r="E41" s="33">
        <f>D41/$B$4</f>
        <v/>
      </c>
    </row>
    <row r="43">
      <c r="A43" s="2" t="inlineStr">
        <is>
          <t>· 경로의 수익은 구독자가 쌓이는 시차를 무시한 정상 상태 값이라 실제로는 몇 달 늦게 따라옵니다. 설치 수 목표는 임의의 예시입니다.</t>
        </is>
      </c>
    </row>
    <row r="44">
      <c r="A44" s="2" t="inlineStr">
        <is>
          <t>· 6개월 시점에 구독자 50명 미만이면 이 경로는 맞지 않다고 보고 가격·구조를 먼저 바꿉니다(판단 기준, 계산 아님).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60" customWidth="1" min="8" max="8"/>
  </cols>
  <sheetData>
    <row r="1">
      <c r="A1" s="18" t="inlineStr">
        <is>
          <t>1개월 목표: 첫 달 월 총매출 500만원에 필요한 설치·조회수 (해외·한국·혼합)</t>
        </is>
      </c>
    </row>
    <row r="2">
      <c r="A2" s="2" t="inlineStr">
        <is>
          <t>총매출 = 사용자가 낸 돈(한국은 부가세 포함가). 첫 달에는 연간 구독료가 한 번에 잡혀 부풀어 보이므로, 매달 유지되는 수준은 "정상 상태" 줄을 본다. 파란 글씨 = 입력, 노란 칸 = 확인이 필요한 가정. 2026-10-27 작성.</t>
        </is>
      </c>
    </row>
    <row r="4">
      <c r="A4" s="34" t="inlineStr">
        <is>
          <t>항목</t>
        </is>
      </c>
      <c r="B4" s="34" t="inlineStr">
        <is>
          <t>값</t>
        </is>
      </c>
      <c r="C4" s="34" t="inlineStr">
        <is>
          <t>출처 / 상태</t>
        </is>
      </c>
    </row>
    <row r="5">
      <c r="A5" s="2" t="inlineStr">
        <is>
          <t>목표 월 총매출 (원)</t>
        </is>
      </c>
      <c r="B5" s="16" t="n">
        <v>5000000</v>
      </c>
      <c r="C5" s="2" t="inlineStr">
        <is>
          <t>사용자 목표 (2026-10-27)</t>
        </is>
      </c>
    </row>
    <row r="6">
      <c r="A6" s="2" t="inlineStr">
        <is>
          <t>환율 (원/달러)</t>
        </is>
      </c>
      <c r="B6" s="35">
        <f>'500만원 목표'!$B$5</f>
        <v/>
      </c>
      <c r="C6" s="2" t="inlineStr">
        <is>
          <t>500만원 목표 탭의 값</t>
        </is>
      </c>
    </row>
    <row r="7">
      <c r="A7" s="2" t="inlineStr">
        <is>
          <t>목표 월 총매출 (달러)</t>
        </is>
      </c>
      <c r="B7" s="20">
        <f>B5/B6</f>
        <v/>
      </c>
      <c r="C7" s="2" t="inlineStr"/>
    </row>
    <row r="8">
      <c r="A8" s="2" t="inlineStr">
        <is>
          <t>스토어 수수료율</t>
        </is>
      </c>
      <c r="B8" s="36">
        <f>입력!$B$9</f>
        <v/>
      </c>
      <c r="C8" s="2" t="inlineStr">
        <is>
          <t>입력 탭</t>
        </is>
      </c>
    </row>
    <row r="9">
      <c r="A9" s="2" t="inlineStr">
        <is>
          <t>환불·취소 손실률</t>
        </is>
      </c>
      <c r="B9" s="36">
        <f>입력!$B$10</f>
        <v/>
      </c>
      <c r="C9" s="2" t="inlineStr">
        <is>
          <t>입력 탭</t>
        </is>
      </c>
    </row>
    <row r="10">
      <c r="A10" s="2" t="inlineStr">
        <is>
          <t>RevenueCat 수수료율</t>
        </is>
      </c>
      <c r="B10" s="36">
        <f>입력!$B$11</f>
        <v/>
      </c>
      <c r="C10" s="2" t="inlineStr">
        <is>
          <t>입력 탭</t>
        </is>
      </c>
    </row>
    <row r="11">
      <c r="A11" s="2" t="inlineStr">
        <is>
          <t>한국 부가세율</t>
        </is>
      </c>
      <c r="B11" s="17" t="n">
        <v>0.1</v>
      </c>
      <c r="C11" s="2" t="inlineStr">
        <is>
          <t>한국 스토어 표시가는 부가세 10% 포함, 스토어가 대신 납부한다</t>
        </is>
      </c>
    </row>
    <row r="12">
      <c r="A12" s="2" t="inlineStr">
        <is>
          <t>해외 실수령 비율 (총매출 대비)</t>
        </is>
      </c>
      <c r="B12" s="37">
        <f>(1-B8)*(1-B9)*(1-B10)</f>
        <v/>
      </c>
      <c r="C12" s="2" t="inlineStr">
        <is>
          <t>수수료·환불·RevenueCat 차감</t>
        </is>
      </c>
    </row>
    <row r="13">
      <c r="A13" s="2" t="inlineStr">
        <is>
          <t>한국 실수령 비율 (총매출 대비)</t>
        </is>
      </c>
      <c r="B13" s="37">
        <f>B12/(1+B11)</f>
        <v/>
      </c>
      <c r="C13" s="2" t="inlineStr">
        <is>
          <t>부가세를 먼저 빼고 같은 차감</t>
        </is>
      </c>
    </row>
    <row r="14">
      <c r="A14" s="2" t="inlineStr">
        <is>
          <t>조회→설치 전환율</t>
        </is>
      </c>
      <c r="B14" s="38">
        <f>'500만원 목표'!$B$29</f>
        <v/>
      </c>
      <c r="C14" s="2" t="inlineStr">
        <is>
          <t>500만원 목표 탭의 가정(출처 없음). 첫 영상 데이터로 교체</t>
        </is>
      </c>
    </row>
    <row r="15">
      <c r="A15" s="2" t="inlineStr">
        <is>
          <t>설치당 AI 비용 ($)</t>
        </is>
      </c>
      <c r="B15" s="39">
        <f>사용자당!$B$4</f>
        <v/>
      </c>
      <c r="C15" s="2" t="inlineStr">
        <is>
          <t>사용자당 탭</t>
        </is>
      </c>
    </row>
    <row r="17">
      <c r="A17" s="34" t="inlineStr">
        <is>
          <t>가격</t>
        </is>
      </c>
      <c r="B17" s="34" t="inlineStr">
        <is>
          <t>해외 ($)</t>
        </is>
      </c>
      <c r="C17" s="34" t="inlineStr">
        <is>
          <t>한국 (원)</t>
        </is>
      </c>
      <c r="D17" s="34" t="inlineStr">
        <is>
          <t>출처 / 상태</t>
        </is>
      </c>
    </row>
    <row r="18">
      <c r="A18" s="2" t="inlineStr">
        <is>
          <t>월 구독</t>
        </is>
      </c>
      <c r="B18" s="40">
        <f>입력!$B$6</f>
        <v/>
      </c>
      <c r="C18" s="41" t="n">
        <v>11000</v>
      </c>
      <c r="D18" s="2" t="inlineStr">
        <is>
          <t>해외: 입력 탭. 한국: 스토어 자동 환산 근사(가정). 콘솔 실제가로 교체</t>
        </is>
      </c>
    </row>
    <row r="19">
      <c r="A19" s="2" t="inlineStr">
        <is>
          <t>연간 구독</t>
        </is>
      </c>
      <c r="B19" s="6" t="n">
        <v>49.99</v>
      </c>
      <c r="C19" s="41" t="n">
        <v>69000</v>
      </c>
      <c r="D19" s="2" t="inlineStr">
        <is>
          <t>해외: 앱 페이월 연간 플랜(스토어 표시 월 $4.16). 한국: 근사(가정)</t>
        </is>
      </c>
    </row>
    <row r="20">
      <c r="A20" s="2" t="inlineStr">
        <is>
          <t>딥 리포트</t>
        </is>
      </c>
      <c r="B20" s="40">
        <f>입력!$B$7</f>
        <v/>
      </c>
      <c r="C20" s="41" t="n">
        <v>22000</v>
      </c>
      <c r="D20" s="2" t="inlineStr">
        <is>
          <t>해외: 입력 탭. 한국: 근사(가정)</t>
        </is>
      </c>
    </row>
    <row r="21">
      <c r="A21" s="2" t="inlineStr">
        <is>
          <t>궁합 리포트</t>
        </is>
      </c>
      <c r="B21" s="7" t="n">
        <v>6.99</v>
      </c>
      <c r="C21" s="41" t="n">
        <v>9900</v>
      </c>
      <c r="D21" s="2" t="inlineStr">
        <is>
          <t>IAP_PRODUCTS.md "$6.99 가정", 한국: 근사(가정)</t>
        </is>
      </c>
    </row>
    <row r="23">
      <c r="A23" s="34" t="inlineStr">
        <is>
          <t>항목</t>
        </is>
      </c>
      <c r="B23" s="34" t="inlineStr">
        <is>
          <t>해외 보수</t>
        </is>
      </c>
      <c r="C23" s="34" t="inlineStr">
        <is>
          <t>해외 중간</t>
        </is>
      </c>
      <c r="D23" s="34" t="inlineStr">
        <is>
          <t>해외 좋음</t>
        </is>
      </c>
      <c r="E23" s="34" t="inlineStr">
        <is>
          <t>한국 보수</t>
        </is>
      </c>
      <c r="F23" s="34" t="inlineStr">
        <is>
          <t>한국 중간</t>
        </is>
      </c>
      <c r="G23" s="34" t="inlineStr">
        <is>
          <t>한국 좋음</t>
        </is>
      </c>
      <c r="H23" s="34" t="inlineStr">
        <is>
          <t>메모</t>
        </is>
      </c>
    </row>
    <row r="24">
      <c r="A24" s="4" t="inlineStr">
        <is>
          <t>입력 (전부 추정)</t>
        </is>
      </c>
    </row>
    <row r="25">
      <c r="A25" s="2" t="inlineStr">
        <is>
          <t>설치→구독 전환율 (첫 달)</t>
        </is>
      </c>
      <c r="B25" s="17" t="n">
        <v>0.012</v>
      </c>
      <c r="C25" s="17" t="n">
        <v>0.02</v>
      </c>
      <c r="D25" s="17" t="n">
        <v>0.03</v>
      </c>
      <c r="E25" s="17" t="n">
        <v>0.01</v>
      </c>
      <c r="F25" s="17" t="n">
        <v>0.018</v>
      </c>
      <c r="G25" s="17" t="n">
        <v>0.028</v>
      </c>
      <c r="H25" s="2" t="inlineStr">
        <is>
          <t>RevenueCat 2026 중앙값 2.0%(확인됨) 주변. 한국은 건별 결제 선호를 가정해 조금 낮게</t>
        </is>
      </c>
    </row>
    <row r="26">
      <c r="A26" s="2" t="inlineStr">
        <is>
          <t>구독 중 연간 비중</t>
        </is>
      </c>
      <c r="B26" s="17" t="n">
        <v>0.4</v>
      </c>
      <c r="C26" s="17" t="n">
        <v>0.5</v>
      </c>
      <c r="D26" s="17" t="n">
        <v>0.6</v>
      </c>
      <c r="E26" s="17" t="n">
        <v>0.3</v>
      </c>
      <c r="F26" s="17" t="n">
        <v>0.35</v>
      </c>
      <c r="G26" s="17" t="n">
        <v>0.4</v>
      </c>
      <c r="H26" s="2" t="inlineStr">
        <is>
          <t>추정</t>
        </is>
      </c>
    </row>
    <row r="27">
      <c r="A27" s="2" t="inlineStr">
        <is>
          <t>설치→딥 리포트 구매율</t>
        </is>
      </c>
      <c r="B27" s="17" t="n">
        <v>0.01</v>
      </c>
      <c r="C27" s="17" t="n">
        <v>0.015</v>
      </c>
      <c r="D27" s="17" t="n">
        <v>0.025</v>
      </c>
      <c r="E27" s="17" t="n">
        <v>0.015</v>
      </c>
      <c r="F27" s="17" t="n">
        <v>0.025</v>
      </c>
      <c r="G27" s="17" t="n">
        <v>0.04</v>
      </c>
      <c r="H27" s="2" t="inlineStr">
        <is>
          <t>추정. 한국은 건별 결제(복채) 관행으로 높게</t>
        </is>
      </c>
    </row>
    <row r="28">
      <c r="A28" s="2" t="inlineStr">
        <is>
          <t>설치→궁합 리포트 구매율</t>
        </is>
      </c>
      <c r="B28" s="17" t="n">
        <v>0.003</v>
      </c>
      <c r="C28" s="17" t="n">
        <v>0.005</v>
      </c>
      <c r="D28" s="17" t="n">
        <v>0.008</v>
      </c>
      <c r="E28" s="17" t="n">
        <v>0.005</v>
      </c>
      <c r="F28" s="17" t="n">
        <v>0.008</v>
      </c>
      <c r="G28" s="17" t="n">
        <v>0.012</v>
      </c>
      <c r="H28" s="2" t="inlineStr">
        <is>
          <t>추정</t>
        </is>
      </c>
    </row>
    <row r="29">
      <c r="A29" s="2" t="inlineStr">
        <is>
          <t>구독자 월 이탈률 (정상 상태용)</t>
        </is>
      </c>
      <c r="B29" s="17" t="n">
        <v>0.3</v>
      </c>
      <c r="C29" s="17" t="n">
        <v>0.25</v>
      </c>
      <c r="D29" s="17" t="n">
        <v>0.2</v>
      </c>
      <c r="E29" s="17" t="n">
        <v>0.3</v>
      </c>
      <c r="F29" s="17" t="n">
        <v>0.25</v>
      </c>
      <c r="G29" s="17" t="n">
        <v>0.2</v>
      </c>
      <c r="H29" s="2" t="inlineStr">
        <is>
          <t>500만원 목표 탭과 같은 값 (근거 약함)</t>
        </is>
      </c>
    </row>
    <row r="30">
      <c r="A30" s="4" t="inlineStr">
        <is>
          <t>첫 달 계산</t>
        </is>
      </c>
    </row>
    <row r="31">
      <c r="A31" s="2" t="inlineStr">
        <is>
          <t>첫 결제 평균 (해외 $ / 한국 원)</t>
        </is>
      </c>
      <c r="B31" s="15">
        <f>B26*$B$19+(1-B26)*$B$18</f>
        <v/>
      </c>
      <c r="C31" s="15">
        <f>C26*$B$19+(1-C26)*$B$18</f>
        <v/>
      </c>
      <c r="D31" s="15">
        <f>D26*$B$19+(1-D26)*$B$18</f>
        <v/>
      </c>
      <c r="E31" s="42">
        <f>E26*$C$19+(1-E26)*$C$18</f>
        <v/>
      </c>
      <c r="F31" s="42">
        <f>F26*$C$19+(1-F26)*$C$18</f>
        <v/>
      </c>
      <c r="G31" s="42">
        <f>G26*$C$19+(1-G26)*$C$18</f>
        <v/>
      </c>
      <c r="H31" s="2" t="inlineStr">
        <is>
          <t>연간 비중으로 월·연간 가중</t>
        </is>
      </c>
    </row>
    <row r="32">
      <c r="A32" s="2" t="inlineStr">
        <is>
          <t>설치당 첫 달 총매출 (해외 $ / 한국 원)</t>
        </is>
      </c>
      <c r="B32" s="15">
        <f>B25*B31+B27*$B$20+B28*$B$21</f>
        <v/>
      </c>
      <c r="C32" s="15">
        <f>C25*C31+C27*$B$20+C28*$B$21</f>
        <v/>
      </c>
      <c r="D32" s="15">
        <f>D25*D31+D27*$B$20+D28*$B$21</f>
        <v/>
      </c>
      <c r="E32" s="42">
        <f>E25*E31+E27*$C$20+E28*$C$21</f>
        <v/>
      </c>
      <c r="F32" s="42">
        <f>F25*F31+F27*$C$20+F28*$C$21</f>
        <v/>
      </c>
      <c r="G32" s="42">
        <f>G25*G31+G27*$C$20+G28*$C$21</f>
        <v/>
      </c>
      <c r="H32" s="2" t="inlineStr">
        <is>
          <t>구독 + 딥 리포트 + 궁합</t>
        </is>
      </c>
    </row>
    <row r="33">
      <c r="A33" s="2" t="inlineStr">
        <is>
          <t>설치당 첫 달 총매출 (다른 통화 환산: 해외→원, 한국→$)</t>
        </is>
      </c>
      <c r="B33" s="42">
        <f>B32*$B$6</f>
        <v/>
      </c>
      <c r="C33" s="42">
        <f>C32*$B$6</f>
        <v/>
      </c>
      <c r="D33" s="42">
        <f>D32*$B$6</f>
        <v/>
      </c>
      <c r="E33" s="15">
        <f>E32/$B$6</f>
        <v/>
      </c>
      <c r="F33" s="15">
        <f>F32/$B$6</f>
        <v/>
      </c>
      <c r="G33" s="15">
        <f>G32/$B$6</f>
        <v/>
      </c>
      <c r="H33" s="2" t="inlineStr"/>
    </row>
    <row r="34">
      <c r="A34" s="2" t="inlineStr">
        <is>
          <t>필요 월 설치</t>
        </is>
      </c>
      <c r="B34" s="19">
        <f>$B$7/B32</f>
        <v/>
      </c>
      <c r="C34" s="19">
        <f>$B$7/C32</f>
        <v/>
      </c>
      <c r="D34" s="19">
        <f>$B$7/D32</f>
        <v/>
      </c>
      <c r="E34" s="19">
        <f>$B$5/E32</f>
        <v/>
      </c>
      <c r="F34" s="19">
        <f>$B$5/F32</f>
        <v/>
      </c>
      <c r="G34" s="19">
        <f>$B$5/G32</f>
        <v/>
      </c>
      <c r="H34" s="2" t="inlineStr">
        <is>
          <t>목표 총매출 ÷ 설치당 총매출</t>
        </is>
      </c>
    </row>
    <row r="35">
      <c r="A35" s="2" t="inlineStr">
        <is>
          <t>필요 일 설치</t>
        </is>
      </c>
      <c r="B35" s="19">
        <f>B34/30</f>
        <v/>
      </c>
      <c r="C35" s="19">
        <f>C34/30</f>
        <v/>
      </c>
      <c r="D35" s="19">
        <f>D34/30</f>
        <v/>
      </c>
      <c r="E35" s="19">
        <f>E34/30</f>
        <v/>
      </c>
      <c r="F35" s="19">
        <f>F34/30</f>
        <v/>
      </c>
      <c r="G35" s="19">
        <f>G34/30</f>
        <v/>
      </c>
      <c r="H35" s="2" t="inlineStr"/>
    </row>
    <row r="36">
      <c r="A36" s="2" t="inlineStr">
        <is>
          <t>첫 달 신규 구독자</t>
        </is>
      </c>
      <c r="B36" s="19">
        <f>B34*B25</f>
        <v/>
      </c>
      <c r="C36" s="19">
        <f>C34*C25</f>
        <v/>
      </c>
      <c r="D36" s="19">
        <f>D34*D25</f>
        <v/>
      </c>
      <c r="E36" s="19">
        <f>E34*E25</f>
        <v/>
      </c>
      <c r="F36" s="19">
        <f>F34*F25</f>
        <v/>
      </c>
      <c r="G36" s="19">
        <f>G34*G25</f>
        <v/>
      </c>
      <c r="H36" s="2" t="inlineStr"/>
    </row>
    <row r="37">
      <c r="A37" s="2" t="inlineStr">
        <is>
          <t>첫 달 리포트 판매 (딥+궁합)</t>
        </is>
      </c>
      <c r="B37" s="19">
        <f>B34*(B27+B28)</f>
        <v/>
      </c>
      <c r="C37" s="19">
        <f>C34*(C27+C28)</f>
        <v/>
      </c>
      <c r="D37" s="19">
        <f>D34*(D27+D28)</f>
        <v/>
      </c>
      <c r="E37" s="19">
        <f>E34*(E27+E28)</f>
        <v/>
      </c>
      <c r="F37" s="19">
        <f>F34*(F27+F28)</f>
        <v/>
      </c>
      <c r="G37" s="19">
        <f>G34*(G27+G28)</f>
        <v/>
      </c>
      <c r="H37" s="2" t="inlineStr"/>
    </row>
    <row r="38">
      <c r="A38" s="2" t="inlineStr">
        <is>
          <t>필요 월 조회수 (전부 숏폼 유입일 때)</t>
        </is>
      </c>
      <c r="B38" s="19">
        <f>B34/$B$14</f>
        <v/>
      </c>
      <c r="C38" s="19">
        <f>C34/$B$14</f>
        <v/>
      </c>
      <c r="D38" s="19">
        <f>D34/$B$14</f>
        <v/>
      </c>
      <c r="E38" s="19">
        <f>E34/$B$14</f>
        <v/>
      </c>
      <c r="F38" s="19">
        <f>F34/$B$14</f>
        <v/>
      </c>
      <c r="G38" s="19">
        <f>G34/$B$14</f>
        <v/>
      </c>
      <c r="H38" s="2" t="inlineStr">
        <is>
          <t>조회→설치 전환율 가정</t>
        </is>
      </c>
    </row>
    <row r="39">
      <c r="A39" s="2" t="inlineStr">
        <is>
          <t>실제 손에 들어오는 돈 (원)</t>
        </is>
      </c>
      <c r="B39" s="42">
        <f>$B$5*$B$12</f>
        <v/>
      </c>
      <c r="C39" s="42">
        <f>$B$5*$B$12</f>
        <v/>
      </c>
      <c r="D39" s="42">
        <f>$B$5*$B$12</f>
        <v/>
      </c>
      <c r="E39" s="42">
        <f>$B$5*$B$13</f>
        <v/>
      </c>
      <c r="F39" s="42">
        <f>$B$5*$B$13</f>
        <v/>
      </c>
      <c r="G39" s="42">
        <f>$B$5*$B$13</f>
        <v/>
      </c>
      <c r="H39" s="2" t="inlineStr">
        <is>
          <t>총매출 × 실수령 비율</t>
        </is>
      </c>
    </row>
    <row r="40">
      <c r="A40" s="4" t="inlineStr">
        <is>
          <t>정상 상태 (매달 같은 설치가 계속 들어올 때)</t>
        </is>
      </c>
    </row>
    <row r="41">
      <c r="A41" s="2" t="inlineStr">
        <is>
          <t>설치 1건/월당 월 총매출</t>
        </is>
      </c>
      <c r="B41" s="15">
        <f>B25*(1-B26)*$B$18/B29+B25*B26*$B$19+B27*$B$20+B28*$B$21</f>
        <v/>
      </c>
      <c r="C41" s="15">
        <f>C25*(1-C26)*$B$18/C29+C25*C26*$B$19+C27*$B$20+C28*$B$21</f>
        <v/>
      </c>
      <c r="D41" s="15">
        <f>D25*(1-D26)*$B$18/D29+D25*D26*$B$19+D27*$B$20+D28*$B$21</f>
        <v/>
      </c>
      <c r="E41" s="42">
        <f>E25*(1-E26)*$C$18/E29+E25*E26*$C$19+E27*$C$20+E28*$C$21</f>
        <v/>
      </c>
      <c r="F41" s="42">
        <f>F25*(1-F26)*$C$18/F29+F25*F26*$C$19+F27*$C$20+F28*$C$21</f>
        <v/>
      </c>
      <c r="G41" s="42">
        <f>G25*(1-G26)*$C$18/G29+G25*G26*$C$19+G27*$C$20+G28*$C$21</f>
        <v/>
      </c>
      <c r="H41" s="2" t="inlineStr">
        <is>
          <t>월 구독자는 1/이탈률 개월 유지. 연간 구독료는 들어온 달에 현금으로 잡음, 갱신은 무시</t>
        </is>
      </c>
    </row>
    <row r="42">
      <c r="A42" s="2" t="inlineStr">
        <is>
          <t>필요 월 설치 (정상 상태)</t>
        </is>
      </c>
      <c r="B42" s="19">
        <f>$B$7/B41</f>
        <v/>
      </c>
      <c r="C42" s="19">
        <f>$B$7/C41</f>
        <v/>
      </c>
      <c r="D42" s="19">
        <f>$B$7/D41</f>
        <v/>
      </c>
      <c r="E42" s="19">
        <f>$B$5/E41</f>
        <v/>
      </c>
      <c r="F42" s="19">
        <f>$B$5/F41</f>
        <v/>
      </c>
      <c r="G42" s="19">
        <f>$B$5/G41</f>
        <v/>
      </c>
      <c r="H42" s="2" t="inlineStr"/>
    </row>
    <row r="43">
      <c r="A43" s="2" t="inlineStr">
        <is>
          <t>유지되는 월 구독자 수</t>
        </is>
      </c>
      <c r="B43" s="19">
        <f>B42*B25*(1-B26)/B29</f>
        <v/>
      </c>
      <c r="C43" s="19">
        <f>C42*C25*(1-C26)/C29</f>
        <v/>
      </c>
      <c r="D43" s="19">
        <f>D42*D25*(1-D26)/D29</f>
        <v/>
      </c>
      <c r="E43" s="19">
        <f>E42*E25*(1-E26)/E29</f>
        <v/>
      </c>
      <c r="F43" s="19">
        <f>F42*F25*(1-F26)/F29</f>
        <v/>
      </c>
      <c r="G43" s="19">
        <f>G42*G25*(1-G26)/G29</f>
        <v/>
      </c>
      <c r="H43" s="2" t="inlineStr"/>
    </row>
    <row r="45">
      <c r="A45" s="34" t="inlineStr">
        <is>
          <t>기준값</t>
        </is>
      </c>
      <c r="B45" s="34" t="inlineStr">
        <is>
          <t>값</t>
        </is>
      </c>
      <c r="C45" s="34" t="inlineStr">
        <is>
          <t>출처 / 상태</t>
        </is>
      </c>
    </row>
    <row r="46">
      <c r="A46" s="2" t="inlineStr">
        <is>
          <t>RevenueCat 60일 설치당 매출 중앙값 ($)</t>
        </is>
      </c>
      <c r="B46" s="6" t="n">
        <v>0.34</v>
      </c>
      <c r="C46" s="2" t="inlineStr">
        <is>
          <t>RevenueCat State of Subscription Apps 2026 (확인됨, 입력 탭·CPI 민감도 탭과 같은 값)</t>
        </is>
      </c>
    </row>
    <row r="47">
      <c r="A47" s="2" t="inlineStr">
        <is>
          <t>이 값으로 필요한 해외 월 설치</t>
        </is>
      </c>
      <c r="B47" s="19">
        <f>$B$7/B46</f>
        <v/>
      </c>
    </row>
    <row r="49">
      <c r="A49" s="34" t="inlineStr">
        <is>
          <t>혼합 (한국 + 해외)</t>
        </is>
      </c>
      <c r="B49" s="34" t="inlineStr">
        <is>
          <t>값</t>
        </is>
      </c>
      <c r="C49" s="34" t="inlineStr">
        <is>
          <t>메모</t>
        </is>
      </c>
    </row>
    <row r="50">
      <c r="A50" s="2" t="inlineStr">
        <is>
          <t>한국에서 내는 매출 비중</t>
        </is>
      </c>
      <c r="B50" s="17" t="n">
        <v>0.5</v>
      </c>
      <c r="C50" s="2" t="inlineStr">
        <is>
          <t>입력</t>
        </is>
      </c>
    </row>
    <row r="51">
      <c r="A51" s="2" t="inlineStr">
        <is>
          <t>한국 필요 월 설치 (한국 중간)</t>
        </is>
      </c>
      <c r="B51" s="19">
        <f>$B$5*B50/$F$32</f>
        <v/>
      </c>
    </row>
    <row r="52">
      <c r="A52" s="2" t="inlineStr">
        <is>
          <t>해외 필요 월 설치 (해외 중간)</t>
        </is>
      </c>
      <c r="B52" s="19">
        <f>$B$7*(1-B50)/$C$32</f>
        <v/>
      </c>
    </row>
    <row r="53">
      <c r="A53" s="2" t="inlineStr">
        <is>
          <t>해외 필요 월 설치 (RevenueCat 중앙값)</t>
        </is>
      </c>
      <c r="B53" s="19">
        <f>$B$7*(1-B50)/$B$46</f>
        <v/>
      </c>
    </row>
    <row r="54">
      <c r="A54" s="2" t="inlineStr">
        <is>
          <t>합계 (해외 중간)</t>
        </is>
      </c>
      <c r="B54" s="19">
        <f>B51+B52</f>
        <v/>
      </c>
    </row>
    <row r="55">
      <c r="A55" s="2" t="inlineStr">
        <is>
          <t>합계 (해외 RevenueCat 중앙값)</t>
        </is>
      </c>
      <c r="B55" s="19">
        <f>B51+B53</f>
        <v/>
      </c>
    </row>
    <row r="56">
      <c r="A56" s="2" t="inlineStr">
        <is>
          <t>실제 손에 들어오는 돈 (원)</t>
        </is>
      </c>
      <c r="B56" s="42">
        <f>$B$5*(B50*$B$13+(1-B50)*$B$12)</f>
        <v/>
      </c>
    </row>
    <row r="58">
      <c r="A58" s="34" t="inlineStr">
        <is>
          <t>유료 광고로 채울 때</t>
        </is>
      </c>
      <c r="B58" s="34" t="inlineStr">
        <is>
          <t>해외 CPI ($)</t>
        </is>
      </c>
      <c r="C58" s="34" t="inlineStr">
        <is>
          <t>해외 광고비 ($)</t>
        </is>
      </c>
      <c r="D58" s="34" t="inlineStr">
        <is>
          <t>해외 첫 달 손익 ($)</t>
        </is>
      </c>
      <c r="E58" s="34" t="inlineStr">
        <is>
          <t>한국 CPI (원)</t>
        </is>
      </c>
      <c r="F58" s="34" t="inlineStr">
        <is>
          <t>한국 광고비 (원)</t>
        </is>
      </c>
      <c r="G58" s="34" t="inlineStr">
        <is>
          <t>한국 첫 달 손익 (원)</t>
        </is>
      </c>
      <c r="H58" s="43" t="inlineStr"/>
    </row>
    <row r="59">
      <c r="A59" s="2" t="inlineStr">
        <is>
          <t>단가 1</t>
        </is>
      </c>
      <c r="B59" s="6" t="n">
        <v>1</v>
      </c>
      <c r="C59" s="20">
        <f>$C$34*B59</f>
        <v/>
      </c>
      <c r="D59" s="20">
        <f>$B$7*$B$12-$C$34*(B59+$B$15)</f>
        <v/>
      </c>
      <c r="E59" s="44" t="n">
        <v>2000</v>
      </c>
      <c r="F59" s="42">
        <f>$F$34*E59</f>
        <v/>
      </c>
      <c r="G59" s="42">
        <f>$B$5*$B$13-$F$34*(E59+$B$15*$B$6)</f>
        <v/>
      </c>
      <c r="H59" s="2" t="inlineStr">
        <is>
          <t>설치 전부를 광고로 산다고 가정. 해외는 "해외 중간", 한국은 "한국 중간" 설치당 매출 사용. AI 비용 포함</t>
        </is>
      </c>
    </row>
    <row r="60">
      <c r="A60" s="2" t="inlineStr">
        <is>
          <t>단가 2</t>
        </is>
      </c>
      <c r="B60" s="6" t="n">
        <v>2</v>
      </c>
      <c r="C60" s="20">
        <f>$C$34*B60</f>
        <v/>
      </c>
      <c r="D60" s="20">
        <f>$B$7*$B$12-$C$34*(B60+$B$15)</f>
        <v/>
      </c>
      <c r="E60" s="44" t="n">
        <v>4000</v>
      </c>
      <c r="F60" s="42">
        <f>$F$34*E60</f>
        <v/>
      </c>
      <c r="G60" s="42">
        <f>$B$5*$B$13-$F$34*(E60+$B$15*$B$6)</f>
        <v/>
      </c>
      <c r="H60" s="2" t="inlineStr">
        <is>
          <t>CPI는 실측 없음. 해외 일반 벤치마크 iOS $1.5~3.5, 한국 ₩4,000~15,000(블로그, 출처 약함)</t>
        </is>
      </c>
    </row>
    <row r="61">
      <c r="A61" s="2" t="inlineStr">
        <is>
          <t>단가 3</t>
        </is>
      </c>
      <c r="B61" s="6" t="n">
        <v>3</v>
      </c>
      <c r="C61" s="20">
        <f>$C$34*B61</f>
        <v/>
      </c>
      <c r="D61" s="20">
        <f>$B$7*$B$12-$C$34*(B61+$B$15)</f>
        <v/>
      </c>
      <c r="E61" s="44" t="n">
        <v>8000</v>
      </c>
      <c r="F61" s="42">
        <f>$F$34*E61</f>
        <v/>
      </c>
      <c r="G61" s="42">
        <f>$B$5*$B$13-$F$34*(E61+$B$15*$B$6)</f>
        <v/>
      </c>
    </row>
    <row r="62">
      <c r="A62" s="2" t="inlineStr">
        <is>
          <t>단가 4</t>
        </is>
      </c>
      <c r="B62" s="6" t="n">
        <v>4</v>
      </c>
      <c r="C62" s="20">
        <f>$C$34*B62</f>
        <v/>
      </c>
      <c r="D62" s="20">
        <f>$B$7*$B$12-$C$34*(B62+$B$15)</f>
        <v/>
      </c>
      <c r="E62" s="44" t="n">
        <v>15000</v>
      </c>
      <c r="F62" s="42">
        <f>$F$34*E62</f>
        <v/>
      </c>
      <c r="G62" s="42">
        <f>$B$5*$B$13-$F$34*(E62+$B$15*$B$6)</f>
        <v/>
      </c>
    </row>
    <row r="63">
      <c r="A63" s="2" t="inlineStr">
        <is>
          <t>손익분기 CPI (이 이하여야 첫 달 흑자)</t>
        </is>
      </c>
      <c r="D63" s="15">
        <f>$C$32*$B$12-$B$15</f>
        <v/>
      </c>
      <c r="G63" s="42">
        <f>$F$32*$B$13-$B$15*$B$6</f>
        <v/>
      </c>
      <c r="H63" s="2" t="inlineStr">
        <is>
          <t>해외 중간 / 한국 중간 기준</t>
        </is>
      </c>
    </row>
    <row r="65">
      <c r="A65" s="34" t="inlineStr">
        <is>
          <t>국내 운세 앱 비교</t>
        </is>
      </c>
      <c r="B65" s="34" t="inlineStr">
        <is>
          <t>연 매출 (원)</t>
        </is>
      </c>
      <c r="C65" s="34" t="inlineStr">
        <is>
          <t>월간 사용자 (MAU)</t>
        </is>
      </c>
      <c r="D65" s="34" t="inlineStr">
        <is>
          <t>MAU당 월 매출 (원)</t>
        </is>
      </c>
      <c r="E65" s="34" t="inlineStr">
        <is>
          <t>500만원에 필요한 MAU</t>
        </is>
      </c>
      <c r="F65" s="34" t="inlineStr">
        <is>
          <t>신생 앱(절반 수익)일 때</t>
        </is>
      </c>
      <c r="G65" s="34" t="inlineStr">
        <is>
          <t>출처</t>
        </is>
      </c>
    </row>
    <row r="66">
      <c r="A66" s="2" t="inlineStr">
        <is>
          <t>포스텔러 (MAU 낮은 보도)</t>
        </is>
      </c>
      <c r="B66" s="44" t="n">
        <v>9900000000</v>
      </c>
      <c r="C66" s="16" t="n">
        <v>620000</v>
      </c>
      <c r="D66" s="42">
        <f>B66/12/C66</f>
        <v/>
      </c>
      <c r="E66" s="19">
        <f>$B$5/D66</f>
        <v/>
      </c>
      <c r="F66" s="19">
        <f>$B$5/(D66*$B$69)</f>
        <v/>
      </c>
      <c r="G66" s="2" t="inlineStr">
        <is>
          <t>유니콘팩토리 2025-01-24(2023 매출 99억), 한국경제 2026-02-10(MAU 약 62만)</t>
        </is>
      </c>
    </row>
    <row r="67">
      <c r="A67" s="2" t="inlineStr">
        <is>
          <t>포스텔러 (MAU 높은 보도)</t>
        </is>
      </c>
      <c r="B67" s="44" t="n">
        <v>9900000000</v>
      </c>
      <c r="C67" s="16" t="n">
        <v>1400000</v>
      </c>
      <c r="D67" s="42">
        <f>B67/12/C67</f>
        <v/>
      </c>
      <c r="E67" s="19">
        <f>$B$5/D67</f>
        <v/>
      </c>
      <c r="F67" s="19">
        <f>$B$5/(D67*$B$69)</f>
        <v/>
      </c>
      <c r="G67" s="2" t="inlineStr">
        <is>
          <t>ZDNet Korea 2025-02-03(MAU 140만)</t>
        </is>
      </c>
    </row>
    <row r="68">
      <c r="A68" s="2" t="inlineStr">
        <is>
          <t>점신</t>
        </is>
      </c>
      <c r="B68" s="44" t="n">
        <v>5500000000</v>
      </c>
      <c r="C68" s="16" t="n">
        <v>950000</v>
      </c>
      <c r="D68" s="42">
        <f>B68/12/C68</f>
        <v/>
      </c>
      <c r="E68" s="19">
        <f>$B$5/D68</f>
        <v/>
      </c>
      <c r="F68" s="19">
        <f>$B$5/(D68*$B$69)</f>
        <v/>
      </c>
      <c r="G68" s="2" t="inlineStr">
        <is>
          <t>유니콘팩토리(2023 50억, 2024 추정 60억의 중간), 탑스타뉴스 2025-02 모바일인덱스(MAU 95만)</t>
        </is>
      </c>
    </row>
    <row r="69">
      <c r="A69" s="2" t="inlineStr">
        <is>
          <t>신생 앱의 MAU당 매출 비율 (성숙 앱 대비)</t>
        </is>
      </c>
      <c r="B69" s="8" t="n">
        <v>0.5</v>
      </c>
      <c r="C69" s="2" t="inlineStr">
        <is>
          <t>가정. 근거 없음</t>
        </is>
      </c>
    </row>
    <row r="70">
      <c r="A70" s="2" t="inlineStr">
        <is>
          <t>참고: 12~2월 신년 시즌에 운세 앱 이용자 약 20% 증가 (업계 관계자 발언, 유니콘팩토리 2025-01-24)</t>
        </is>
      </c>
    </row>
    <row r="72">
      <c r="A72" s="2" t="inlineStr">
        <is>
          <t>출처 URL: unicornfactory.co.kr/article/2025012414570018707 · hankyung.com/article/2026021070861 · zdnet.co.kr/view/?no=20250203104315 · topstarnews.net/news/articleView.html?idxno=15623421 · 238lab.kr/blog-Terms-MKT-CPI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2026-10-19T09:27:26Z</dcterms:created>
  <dcterms:modified xsi:type="dcterms:W3CDTF">2026-10-27T04:19:40Z</dcterms:modified>
</cp:coreProperties>
</file>