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사용자당" sheetId="2" state="visible" r:id="rId2"/>
    <sheet name="90일 시나리오" sheetId="3" state="visible" r:id="rId3"/>
    <sheet name="CPI 민감도" sheetId="4" state="visible" r:id="rId4"/>
    <sheet name="500만원 목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;($#,##0.00);-"/>
    <numFmt numFmtId="165" formatCode="0.0%;(0.0%);-"/>
    <numFmt numFmtId="166" formatCode="$0.0000"/>
    <numFmt numFmtId="167" formatCode="#,##0;(#,##0);-"/>
    <numFmt numFmtId="168" formatCode="0.0"/>
    <numFmt numFmtId="169" formatCode="$#,##0;($#,##0);-"/>
    <numFmt numFmtId="170" formatCode="0.000"/>
    <numFmt numFmtId="171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  <font>
      <name val="Arial"/>
      <b val="1"/>
    </font>
    <font>
      <name val="Arial"/>
      <color rgb="000000FF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EE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164" fontId="5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6" fontId="5" fillId="0" borderId="0" pivotButton="0" quotePrefix="0" xfId="0"/>
    <xf numFmtId="167" fontId="5" fillId="4" borderId="0" pivotButton="0" quotePrefix="0" xfId="0"/>
    <xf numFmtId="168" fontId="5" fillId="4" borderId="0" pivotButton="0" quotePrefix="0" xfId="0"/>
    <xf numFmtId="169" fontId="5" fillId="0" borderId="0" pivotButton="0" quotePrefix="0" xfId="0"/>
    <xf numFmtId="169" fontId="5" fillId="4" borderId="0" pivotButton="0" quotePrefix="0" xfId="0"/>
    <xf numFmtId="166" fontId="2" fillId="0" borderId="0" pivotButton="0" quotePrefix="0" xfId="0"/>
    <xf numFmtId="164" fontId="2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0" fontId="4" fillId="0" borderId="0" pivotButton="0" quotePrefix="0" xfId="0"/>
    <xf numFmtId="167" fontId="2" fillId="0" borderId="0" pivotButton="0" quotePrefix="0" xfId="0"/>
    <xf numFmtId="169" fontId="2" fillId="0" borderId="0" pivotButton="0" quotePrefix="0" xfId="0"/>
    <xf numFmtId="169" fontId="4" fillId="0" borderId="0" pivotButton="0" quotePrefix="0" xfId="0"/>
    <xf numFmtId="170" fontId="2" fillId="0" borderId="0" pivotButton="0" quotePrefix="0" xfId="0"/>
    <xf numFmtId="164" fontId="4" fillId="0" borderId="0" pivotButton="0" quotePrefix="0" xfId="0"/>
    <xf numFmtId="164" fontId="3" fillId="2" borderId="0" applyAlignment="1" pivotButton="0" quotePrefix="0" xfId="0">
      <alignment horizontal="center" vertical="center" wrapText="1"/>
    </xf>
    <xf numFmtId="164" fontId="2" fillId="0" borderId="1" pivotButton="0" quotePrefix="0" xfId="0"/>
    <xf numFmtId="3" fontId="5" fillId="0" borderId="0" pivotButton="0" quotePrefix="0" xfId="0"/>
    <xf numFmtId="3" fontId="5" fillId="4" borderId="0" pivotButton="0" quotePrefix="0" xfId="0"/>
    <xf numFmtId="169" fontId="6" fillId="0" borderId="0" pivotButton="0" quotePrefix="0" xfId="0"/>
    <xf numFmtId="170" fontId="6" fillId="0" borderId="0" pivotButton="0" quotePrefix="0" xfId="0"/>
    <xf numFmtId="171" fontId="2" fillId="0" borderId="0" pivotButton="0" quotePrefix="0" xfId="0"/>
    <xf numFmtId="167" fontId="4" fillId="0" borderId="0" pivotButton="0" quotePrefix="0" xfId="0"/>
    <xf numFmtId="10" fontId="5" fillId="4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8" customWidth="1" min="3" max="3"/>
  </cols>
  <sheetData>
    <row r="1">
      <c r="A1" s="1" t="inlineStr">
        <is>
          <t>Fatesaid 손익 시트 — 입력값</t>
        </is>
      </c>
    </row>
    <row r="2">
      <c r="A2" s="2" t="inlineStr">
        <is>
          <t>파란 글씨 = 직접 바꿀 수 있는 입력, 노란 칸 = 확인이 필요한 가정. 다른 시트는 전부 이 값을 참조합니다.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출처 / 상태</t>
        </is>
      </c>
    </row>
    <row r="5">
      <c r="A5" s="4" t="inlineStr">
        <is>
          <t>가격·수수료</t>
        </is>
      </c>
      <c r="B5" s="5" t="n"/>
      <c r="C5" s="5" t="n"/>
    </row>
    <row r="6">
      <c r="A6" s="2" t="inlineStr">
        <is>
          <t>구독 월 가격</t>
        </is>
      </c>
      <c r="B6" s="6" t="n">
        <v>7.99</v>
      </c>
      <c r="C6" s="2" t="inlineStr">
        <is>
          <t>PRODUCT.md (확인됨)</t>
        </is>
      </c>
    </row>
    <row r="7">
      <c r="A7" s="2" t="inlineStr">
        <is>
          <t>딥 리포트 가격</t>
        </is>
      </c>
      <c r="B7" s="6" t="n">
        <v>14.99</v>
      </c>
      <c r="C7" s="2" t="inlineStr">
        <is>
          <t>PRODUCT.md (확인됨)</t>
        </is>
      </c>
    </row>
    <row r="8">
      <c r="A8" s="2" t="inlineStr">
        <is>
          <t>연간 리포트 가격</t>
        </is>
      </c>
      <c r="B8" s="7" t="n">
        <v>14.99</v>
      </c>
      <c r="C8" s="2" t="inlineStr">
        <is>
          <t>가정: 딥 리포트와 동일. 실제 가격 확인 필요</t>
        </is>
      </c>
    </row>
    <row r="9">
      <c r="A9" s="2" t="inlineStr">
        <is>
          <t>스토어 수수료율</t>
        </is>
      </c>
      <c r="B9" s="8" t="n">
        <v>0.15</v>
      </c>
      <c r="C9" s="2" t="inlineStr">
        <is>
          <t>소규모 사업자 프로그램 15% 가입 완료(2026-10-08 메모 기준). 실제 적용률은 정산 화면에서 확인 필요(사용자)</t>
        </is>
      </c>
    </row>
    <row r="10">
      <c r="A10" s="2" t="inlineStr">
        <is>
          <t>환불·취소 손실률</t>
        </is>
      </c>
      <c r="B10" s="8" t="n">
        <v>0.075</v>
      </c>
      <c r="C10" s="2" t="inlineStr">
        <is>
          <t>가정 5~10%의 중간. 실측으로 교체</t>
        </is>
      </c>
    </row>
    <row r="11">
      <c r="A11" s="2" t="inlineStr">
        <is>
          <t>RevenueCat 수수료율</t>
        </is>
      </c>
      <c r="B11" s="8" t="n">
        <v>0</v>
      </c>
      <c r="C11" s="2" t="inlineStr">
        <is>
          <t>RevenueCat 공식 요금 페이지(2026-10-20 확인): 월 추적 매출(MTR) $2,500까지 무료, 도달 후 1%. 지금 규모는 0 유지. 1% 적용 범위(전체/초과분)는 페이지에 불명확</t>
        </is>
      </c>
    </row>
    <row r="12">
      <c r="A12" s="4" t="inlineStr">
        <is>
          <t>AI 단가 (측정값, USD)</t>
        </is>
      </c>
      <c r="B12" s="5" t="n"/>
      <c r="C12" s="5" t="n"/>
    </row>
    <row r="13">
      <c r="A13" s="2" t="inlineStr">
        <is>
          <t>상담 25턴 1세트 (봇+요약)</t>
        </is>
      </c>
      <c r="B13" s="9" t="n">
        <v>0.032</v>
      </c>
      <c r="C13" s="2" t="inlineStr">
        <is>
          <t>2026-10-19 sim-chat v2 25턴 측정, luna (확인됨, 시뮬 사용자 기준)</t>
        </is>
      </c>
    </row>
    <row r="14">
      <c r="A14" s="2" t="inlineStr">
        <is>
          <t>딥 리포트 1건</t>
        </is>
      </c>
      <c r="B14" s="9" t="n">
        <v>0.014</v>
      </c>
      <c r="C14" s="2" t="inlineStr">
        <is>
          <t>운영 로그 세션 평균 (확인됨, 표본 14)</t>
        </is>
      </c>
    </row>
    <row r="15">
      <c r="A15" s="2" t="inlineStr">
        <is>
          <t>연간 리포트 1건</t>
        </is>
      </c>
      <c r="B15" s="9" t="n">
        <v>0.016</v>
      </c>
      <c r="C15" s="2" t="inlineStr">
        <is>
          <t>운영 로그 호출 평균 (확인됨)</t>
        </is>
      </c>
    </row>
    <row r="16">
      <c r="A16" s="2" t="inlineStr">
        <is>
          <t>Q&amp;A 질문 1회</t>
        </is>
      </c>
      <c r="B16" s="9" t="n">
        <v>0.0033</v>
      </c>
      <c r="C16" s="2" t="inlineStr">
        <is>
          <t>운영 로그 평균 (확인됨, 표본 76)</t>
        </is>
      </c>
    </row>
    <row r="17">
      <c r="A17" s="4" t="inlineStr">
        <is>
          <t>무료 사용자 행동 (가정)</t>
        </is>
      </c>
      <c r="B17" s="5" t="n"/>
      <c r="C17" s="5" t="n"/>
    </row>
    <row r="18">
      <c r="A18" s="2" t="inlineStr">
        <is>
          <t>상담 1세트까지 가는 설치 비율</t>
        </is>
      </c>
      <c r="B18" s="8" t="n">
        <v>0.4</v>
      </c>
      <c r="C18" s="2" t="inlineStr">
        <is>
          <t>가정. 실제 퍼널 데이터로 교체</t>
        </is>
      </c>
    </row>
    <row r="19">
      <c r="A19" s="2" t="inlineStr">
        <is>
          <t>딥 리포트 생성하는 설치 비율</t>
        </is>
      </c>
      <c r="B19" s="8" t="n">
        <v>0.25</v>
      </c>
      <c r="C19" s="2" t="inlineStr">
        <is>
          <t>가정. 실제 퍼널 데이터로 교체</t>
        </is>
      </c>
    </row>
    <row r="20">
      <c r="A20" s="2" t="inlineStr">
        <is>
          <t>설치당 평균 Q&amp;A 질문 수 (90일)</t>
        </is>
      </c>
      <c r="B20" s="10" t="n">
        <v>7</v>
      </c>
      <c r="C20" s="2" t="inlineStr">
        <is>
          <t>가정: 무료 하루 1회 × 약 7일</t>
        </is>
      </c>
    </row>
    <row r="21">
      <c r="A21" s="4" t="inlineStr">
        <is>
          <t>구독자 행동 (가정)</t>
        </is>
      </c>
      <c r="B21" s="5" t="n"/>
      <c r="C21" s="5" t="n"/>
    </row>
    <row r="22">
      <c r="A22" s="2" t="inlineStr">
        <is>
          <t>구독자 월 평균 Q&amp;A 질문 수</t>
        </is>
      </c>
      <c r="B22" s="10" t="n">
        <v>120</v>
      </c>
      <c r="C22" s="2" t="inlineStr">
        <is>
          <t>가정: 한도(10회/일 = 300회)의 40%</t>
        </is>
      </c>
    </row>
    <row r="23">
      <c r="A23" s="2" t="inlineStr">
        <is>
          <t>구독자 90일 내 평균 결제 개월</t>
        </is>
      </c>
      <c r="B23" s="11" t="n">
        <v>1.5</v>
      </c>
      <c r="C23" s="2" t="inlineStr">
        <is>
          <t>가정: 체험·이탈 반영</t>
        </is>
      </c>
    </row>
    <row r="24">
      <c r="A24" s="4" t="inlineStr">
        <is>
          <t>마케팅 지출</t>
        </is>
      </c>
      <c r="B24" s="5" t="n"/>
      <c r="C24" s="5" t="n"/>
    </row>
    <row r="25">
      <c r="A25" s="2" t="inlineStr">
        <is>
          <t>유료 증폭 지출</t>
        </is>
      </c>
      <c r="B25" s="12" t="n">
        <v>200</v>
      </c>
      <c r="C25" s="2" t="inlineStr">
        <is>
          <t>MARKETING_SPEC.md 배분 (확인됨)</t>
        </is>
      </c>
    </row>
    <row r="26">
      <c r="A26" s="2" t="inlineStr">
        <is>
          <t>크리에이터 시딩 지출</t>
        </is>
      </c>
      <c r="B26" s="12" t="n">
        <v>150</v>
      </c>
      <c r="C26" s="2" t="inlineStr">
        <is>
          <t>MARKETING_SPEC.md 배분 (확인됨)</t>
        </is>
      </c>
    </row>
    <row r="27">
      <c r="A27" s="2" t="inlineStr">
        <is>
          <t>제작·ASO 도구 지출</t>
        </is>
      </c>
      <c r="B27" s="12" t="n">
        <v>75</v>
      </c>
      <c r="C27" s="2" t="inlineStr">
        <is>
          <t>MARKETING_SPEC.md $50~100의 중간</t>
        </is>
      </c>
    </row>
    <row r="28">
      <c r="A28" s="2" t="inlineStr">
        <is>
          <t>유료 증폭 설치당 비용 (CPI)</t>
        </is>
      </c>
      <c r="B28" s="7" t="n">
        <v>3</v>
      </c>
      <c r="C28" s="2" t="inlineStr">
        <is>
          <t>가정: CPI 자료 없음. 직접 테스트로 교체</t>
        </is>
      </c>
    </row>
    <row r="29">
      <c r="A29" s="4" t="inlineStr">
        <is>
          <t>고정비</t>
        </is>
      </c>
      <c r="B29" s="5" t="n"/>
      <c r="C29" s="5" t="n"/>
    </row>
    <row r="30">
      <c r="A30" s="2" t="inlineStr">
        <is>
          <t>서버·DB 등 월 고정비</t>
        </is>
      </c>
      <c r="B30" s="13" t="n">
        <v>0</v>
      </c>
      <c r="C30" s="2" t="inlineStr">
        <is>
          <t>확인 필요: Vercel·Supabase·도메인 실제 청구액 입력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56" customWidth="1" min="3" max="3"/>
  </cols>
  <sheetData>
    <row r="1">
      <c r="A1" s="1" t="inlineStr">
        <is>
          <t>사용자 1명당 AI 비용과 매출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설명</t>
        </is>
      </c>
    </row>
    <row r="4">
      <c r="A4" s="2" t="inlineStr">
        <is>
          <t>설치당 AI 비용 (무료 사용자 평균)</t>
        </is>
      </c>
      <c r="B4" s="14">
        <f>입력!$B$13*입력!$B$18+입력!$B$14*입력!$B$19+입력!$B$16*입력!$B$20</f>
        <v/>
      </c>
      <c r="C4" s="2" t="inlineStr">
        <is>
          <t>상담 + 리포트 + Q&amp;A의 행동 비율 가중합</t>
        </is>
      </c>
    </row>
    <row r="5">
      <c r="A5" s="2" t="inlineStr">
        <is>
          <t>구독자 추가 AI 비용 (월)</t>
        </is>
      </c>
      <c r="B5" s="14">
        <f>입력!$B$16*입력!$B$22</f>
        <v/>
      </c>
      <c r="C5" s="2" t="inlineStr">
        <is>
          <t>Q&amp;A 단가 × 월 질문 수</t>
        </is>
      </c>
    </row>
    <row r="6">
      <c r="A6" s="2" t="inlineStr">
        <is>
          <t>구독자 월 순매출</t>
        </is>
      </c>
      <c r="B6" s="15">
        <f>입력!$B$6*(1-입력!$B$9)*(1-입력!$B$10)*(1-입력!$B$11)</f>
        <v/>
      </c>
      <c r="C6" s="2" t="inlineStr">
        <is>
          <t>수수료·환불·RevenueCat 차감 후</t>
        </is>
      </c>
    </row>
    <row r="7">
      <c r="A7" s="2" t="inlineStr">
        <is>
          <t>구독자 월 마진 (AI 비용 차감)</t>
        </is>
      </c>
      <c r="B7" s="15">
        <f>B6-B5</f>
        <v/>
      </c>
      <c r="C7" s="2" t="inlineStr">
        <is>
          <t>구독 1명이 한 달에 남기는 돈</t>
        </is>
      </c>
    </row>
    <row r="8">
      <c r="A8" s="2" t="inlineStr">
        <is>
          <t>딥 리포트 1건 순매출</t>
        </is>
      </c>
      <c r="B8" s="15">
        <f>입력!$B$7*(1-입력!$B$9)*(1-입력!$B$10)*(1-입력!$B$11)</f>
        <v/>
      </c>
      <c r="C8" s="2" t="inlineStr"/>
    </row>
    <row r="9">
      <c r="A9" s="2" t="inlineStr">
        <is>
          <t>딥 리포트 1건 마진</t>
        </is>
      </c>
      <c r="B9" s="15">
        <f>B8-입력!$B$14</f>
        <v/>
      </c>
      <c r="C9" s="2" t="inlineStr"/>
    </row>
    <row r="10">
      <c r="A10" s="2" t="inlineStr">
        <is>
          <t>구독자 최대 사용 시 월 AI 비용</t>
        </is>
      </c>
      <c r="B10" s="14">
        <f>입력!$B$16*300</f>
        <v/>
      </c>
      <c r="C10" s="2" t="inlineStr">
        <is>
          <t>하루 10회 × 30일 전부 사용 (상한)</t>
        </is>
      </c>
    </row>
    <row r="11">
      <c r="A11" s="2" t="inlineStr">
        <is>
          <t>최대 사용 시에도 월 마진 양수?</t>
        </is>
      </c>
      <c r="B11" s="2">
        <f>IF(B6-B10&gt;0,"예","아니오")</f>
        <v/>
      </c>
      <c r="C11" s="2" t="inlineStr">
        <is>
          <t>구독 한도가 적자를 만들지 않는지 점검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72" customWidth="1" min="5" max="5"/>
  </cols>
  <sheetData>
    <row r="1">
      <c r="A1" s="1" t="inlineStr">
        <is>
          <t>90일 시나리오 (승인 후)</t>
        </is>
      </c>
    </row>
    <row r="2">
      <c r="A2" s="2" t="inlineStr">
        <is>
          <t>설치·전환율은 2026-10-19 예측가 3명의 합의 범위(추정). 파란 칸을 바꾸면 전부 다시 계산됩니다.</t>
        </is>
      </c>
    </row>
    <row r="4">
      <c r="A4" s="3" t="inlineStr">
        <is>
          <t>항목</t>
        </is>
      </c>
      <c r="B4" s="3" t="inlineStr">
        <is>
          <t>P10 (나쁨)</t>
        </is>
      </c>
      <c r="C4" s="3" t="inlineStr">
        <is>
          <t>P50 (중앙)</t>
        </is>
      </c>
      <c r="D4" s="3" t="inlineStr">
        <is>
          <t>P90 (터짐)</t>
        </is>
      </c>
      <c r="E4" s="3" t="inlineStr">
        <is>
          <t>비고</t>
        </is>
      </c>
    </row>
    <row r="5">
      <c r="A5" s="2" t="inlineStr">
        <is>
          <t>총 설치</t>
        </is>
      </c>
      <c r="B5" s="16" t="n">
        <v>60</v>
      </c>
      <c r="C5" s="16" t="n">
        <v>500</v>
      </c>
      <c r="D5" s="16" t="n">
        <v>4000</v>
      </c>
      <c r="E5" s="2" t="inlineStr">
        <is>
          <t>합의: P10 40~120, P50 400~600, P90 3천~8천 (추정)</t>
        </is>
      </c>
    </row>
    <row r="6">
      <c r="A6" s="2" t="inlineStr">
        <is>
          <t>설치→구독 전환율</t>
        </is>
      </c>
      <c r="B6" s="17" t="n">
        <v>0.005</v>
      </c>
      <c r="C6" s="17" t="n">
        <v>0.012</v>
      </c>
      <c r="D6" s="17" t="n">
        <v>0.025</v>
      </c>
      <c r="E6" s="2" t="inlineStr">
        <is>
          <t>RevenueCat 중앙값 2.0%를 콜드스타트로 하향 (중앙값 확인됨, 조정은 추정)</t>
        </is>
      </c>
    </row>
    <row r="7">
      <c r="A7" s="2" t="inlineStr">
        <is>
          <t>설치→리포트 구매율</t>
        </is>
      </c>
      <c r="B7" s="17" t="n">
        <v>0.003</v>
      </c>
      <c r="C7" s="17" t="n">
        <v>0.008</v>
      </c>
      <c r="D7" s="17" t="n">
        <v>0.012</v>
      </c>
      <c r="E7" s="2" t="inlineStr">
        <is>
          <t>예측가 제시치에서 환산 (추정)</t>
        </is>
      </c>
    </row>
    <row r="8">
      <c r="A8" s="2" t="inlineStr">
        <is>
          <t>설치→연간 리포트 구매율</t>
        </is>
      </c>
      <c r="B8" s="17" t="n">
        <v>0</v>
      </c>
      <c r="C8" s="17" t="n">
        <v>0.003</v>
      </c>
      <c r="D8" s="17" t="n">
        <v>0.008</v>
      </c>
      <c r="E8" s="2" t="inlineStr">
        <is>
          <t>12/1 이후 시즌 효과 (추정, 근거 약함)</t>
        </is>
      </c>
    </row>
    <row r="9">
      <c r="A9" s="18" t="inlineStr">
        <is>
          <t>계산</t>
        </is>
      </c>
    </row>
    <row r="10">
      <c r="A10" s="2" t="inlineStr">
        <is>
          <t>구독자 수</t>
        </is>
      </c>
      <c r="B10" s="19">
        <f>B5*B6</f>
        <v/>
      </c>
      <c r="C10" s="19">
        <f>C5*C6</f>
        <v/>
      </c>
      <c r="D10" s="19">
        <f>D5*D6</f>
        <v/>
      </c>
    </row>
    <row r="11">
      <c r="A11" s="2" t="inlineStr">
        <is>
          <t>딥 리포트 판매 수</t>
        </is>
      </c>
      <c r="B11" s="19">
        <f>B5*B7</f>
        <v/>
      </c>
      <c r="C11" s="19">
        <f>C5*C7</f>
        <v/>
      </c>
      <c r="D11" s="19">
        <f>D5*D7</f>
        <v/>
      </c>
    </row>
    <row r="12">
      <c r="A12" s="2" t="inlineStr">
        <is>
          <t>연간 리포트 판매 수</t>
        </is>
      </c>
      <c r="B12" s="19">
        <f>B5*B8</f>
        <v/>
      </c>
      <c r="C12" s="19">
        <f>C5*C8</f>
        <v/>
      </c>
      <c r="D12" s="19">
        <f>D5*D8</f>
        <v/>
      </c>
    </row>
    <row r="13">
      <c r="A13" s="2" t="inlineStr">
        <is>
          <t>구독 총매출</t>
        </is>
      </c>
      <c r="B13" s="20">
        <f>B10*입력!$B$6*입력!$B$23</f>
        <v/>
      </c>
      <c r="C13" s="20">
        <f>C10*입력!$B$6*입력!$B$23</f>
        <v/>
      </c>
      <c r="D13" s="20">
        <f>D10*입력!$B$6*입력!$B$23</f>
        <v/>
      </c>
    </row>
    <row r="14">
      <c r="A14" s="2" t="inlineStr">
        <is>
          <t>딥 리포트 총매출</t>
        </is>
      </c>
      <c r="B14" s="20">
        <f>B11*입력!$B$7</f>
        <v/>
      </c>
      <c r="C14" s="20">
        <f>C11*입력!$B$7</f>
        <v/>
      </c>
      <c r="D14" s="20">
        <f>D11*입력!$B$7</f>
        <v/>
      </c>
    </row>
    <row r="15">
      <c r="A15" s="2" t="inlineStr">
        <is>
          <t>연간 리포트 총매출</t>
        </is>
      </c>
      <c r="B15" s="20">
        <f>B12*입력!$B$8</f>
        <v/>
      </c>
      <c r="C15" s="20">
        <f>C12*입력!$B$8</f>
        <v/>
      </c>
      <c r="D15" s="20">
        <f>D12*입력!$B$8</f>
        <v/>
      </c>
    </row>
    <row r="16">
      <c r="A16" s="18" t="inlineStr">
        <is>
          <t>총매출 합계</t>
        </is>
      </c>
      <c r="B16" s="20">
        <f>B13+B14+B15</f>
        <v/>
      </c>
      <c r="C16" s="20">
        <f>C13+C14+C15</f>
        <v/>
      </c>
      <c r="D16" s="20">
        <f>D13+D14+D15</f>
        <v/>
      </c>
    </row>
    <row r="17">
      <c r="A17" s="2" t="inlineStr">
        <is>
          <t>(−) 스토어·환불·RevenueCat</t>
        </is>
      </c>
      <c r="B17" s="20">
        <f>-B16*(1-(1-입력!$B$9)*(1-입력!$B$10)*(1-입력!$B$11))</f>
        <v/>
      </c>
      <c r="C17" s="20">
        <f>-C16*(1-(1-입력!$B$9)*(1-입력!$B$10)*(1-입력!$B$11))</f>
        <v/>
      </c>
      <c r="D17" s="20">
        <f>-D16*(1-(1-입력!$B$9)*(1-입력!$B$10)*(1-입력!$B$11))</f>
        <v/>
      </c>
    </row>
    <row r="18">
      <c r="A18" s="18" t="inlineStr">
        <is>
          <t>순매출</t>
        </is>
      </c>
      <c r="B18" s="20">
        <f>B16+B17</f>
        <v/>
      </c>
      <c r="C18" s="20">
        <f>C16+C17</f>
        <v/>
      </c>
      <c r="D18" s="20">
        <f>D16+D17</f>
        <v/>
      </c>
    </row>
    <row r="19">
      <c r="A19" s="2" t="inlineStr">
        <is>
          <t>(−) 무료 사용자 AI 비용</t>
        </is>
      </c>
      <c r="B19" s="20">
        <f>-B5*사용자당!$B$4</f>
        <v/>
      </c>
      <c r="C19" s="20">
        <f>-C5*사용자당!$B$4</f>
        <v/>
      </c>
      <c r="D19" s="20">
        <f>-D5*사용자당!$B$4</f>
        <v/>
      </c>
    </row>
    <row r="20">
      <c r="A20" s="2" t="inlineStr">
        <is>
          <t>(−) 구독자 추가 AI 비용</t>
        </is>
      </c>
      <c r="B20" s="20">
        <f>-B10*사용자당!$B$5*입력!$B$23</f>
        <v/>
      </c>
      <c r="C20" s="20">
        <f>-C10*사용자당!$B$5*입력!$B$23</f>
        <v/>
      </c>
      <c r="D20" s="20">
        <f>-D10*사용자당!$B$5*입력!$B$23</f>
        <v/>
      </c>
    </row>
    <row r="21">
      <c r="A21" s="2" t="inlineStr">
        <is>
          <t>(−) 구매 리포트 AI 비용</t>
        </is>
      </c>
      <c r="B21" s="20">
        <f>-(B11*입력!$B$14+B12*입력!$B$15)</f>
        <v/>
      </c>
      <c r="C21" s="20">
        <f>-(C11*입력!$B$14+C12*입력!$B$15)</f>
        <v/>
      </c>
      <c r="D21" s="20">
        <f>-(D11*입력!$B$14+D12*입력!$B$15)</f>
        <v/>
      </c>
    </row>
    <row r="22">
      <c r="A22" s="2" t="inlineStr">
        <is>
          <t>(−) 마케팅 지출</t>
        </is>
      </c>
      <c r="B22" s="20">
        <f>-(입력!$B$25+입력!$B$26+입력!$B$27)</f>
        <v/>
      </c>
      <c r="C22" s="20">
        <f>-(입력!$B$25+입력!$B$26+입력!$B$27)</f>
        <v/>
      </c>
      <c r="D22" s="20">
        <f>-(입력!$B$25+입력!$B$26+입력!$B$27)</f>
        <v/>
      </c>
    </row>
    <row r="23">
      <c r="A23" s="2" t="inlineStr">
        <is>
          <t>(−) 고정비 (3개월)</t>
        </is>
      </c>
      <c r="B23" s="20">
        <f>-입력!$B$30*3</f>
        <v/>
      </c>
      <c r="C23" s="20">
        <f>-입력!$B$30*3</f>
        <v/>
      </c>
      <c r="D23" s="20">
        <f>-입력!$B$30*3</f>
        <v/>
      </c>
    </row>
    <row r="24">
      <c r="A24" s="18" t="inlineStr">
        <is>
          <t>90일 순이익</t>
        </is>
      </c>
      <c r="B24" s="21">
        <f>B18+B19+B20+B21+B22+B23</f>
        <v/>
      </c>
      <c r="C24" s="21">
        <f>C18+C19+C20+C21+C22+C23</f>
        <v/>
      </c>
      <c r="D24" s="21">
        <f>D18+D19+D20+D21+D22+D23</f>
        <v/>
      </c>
    </row>
    <row r="25">
      <c r="A25" s="2" t="inlineStr">
        <is>
          <t>마케팅·고정비 제외 이익 (공헌이익)</t>
        </is>
      </c>
      <c r="B25" s="20">
        <f>B18+B19+B20+B21</f>
        <v/>
      </c>
      <c r="C25" s="20">
        <f>C18+C19+C20+C21</f>
        <v/>
      </c>
      <c r="D25" s="20">
        <f>D18+D19+D20+D21</f>
        <v/>
      </c>
    </row>
    <row r="26">
      <c r="A26" s="2" t="inlineStr">
        <is>
          <t>설치당 공헌이익</t>
        </is>
      </c>
      <c r="B26" s="15">
        <f>IF(B5=0,0,B25/B5)</f>
        <v/>
      </c>
      <c r="C26" s="15">
        <f>IF(C5=0,0,C25/C5)</f>
        <v/>
      </c>
      <c r="D26" s="15">
        <f>IF(D5=0,0,D25/D5)</f>
        <v/>
      </c>
    </row>
    <row r="27">
      <c r="A27" s="2" t="inlineStr">
        <is>
          <t>유료 증폭 설치 수 (CPI 기준)</t>
        </is>
      </c>
      <c r="B27" s="19">
        <f>MIN(B5,입력!$B$25/입력!$B$28)</f>
        <v/>
      </c>
      <c r="C27" s="19">
        <f>MIN(C5,입력!$B$25/입력!$B$28)</f>
        <v/>
      </c>
      <c r="D27" s="19">
        <f>MIN(D5,입력!$B$25/입력!$B$28)</f>
        <v/>
      </c>
    </row>
    <row r="29">
      <c r="A29" s="18" t="inlineStr">
        <is>
          <t>해석 메모</t>
        </is>
      </c>
    </row>
    <row r="30">
      <c r="A30" s="2" t="inlineStr">
        <is>
          <t>· 이 표의 총매출은 90일 누적이며, MRR이 아니라 결제된 개월 수 기준입니다.</t>
        </is>
      </c>
    </row>
    <row r="31">
      <c r="A31" s="2" t="inlineStr">
        <is>
          <t>· 마케팅은 설치 수와 연동하지 않고 한도 지출액을 전부 쓴다고 가정합니다(보수적).</t>
        </is>
      </c>
    </row>
    <row r="32">
      <c r="A32" s="2" t="inlineStr">
        <is>
          <t>· 설치 수는 합의 범위의 추정이며, 실측 전에는 방향을 보는 용도입니다.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설치 1건당 손익: 광고비(CPI)와 설치당 총매출에 따라</t>
        </is>
      </c>
    </row>
    <row r="2">
      <c r="A2" s="2" t="inlineStr">
        <is>
          <t>셀 값 = 설치당 총매출 × (1−수수료)(1−환불)(1−RC) − 설치당 AI 비용 − CPI. 음수(괄호)면 그 설치는 적자입니다.</t>
        </is>
      </c>
    </row>
    <row r="4">
      <c r="A4" s="2" t="inlineStr">
        <is>
          <t>설치당 순매출 환산계수</t>
        </is>
      </c>
      <c r="B4" s="22">
        <f>(1-입력!$B$9)*(1-입력!$B$10)*(1-입력!$B$11)</f>
        <v/>
      </c>
    </row>
    <row r="5">
      <c r="A5" s="2" t="inlineStr">
        <is>
          <t>설치당 AI 비용</t>
        </is>
      </c>
      <c r="B5" s="14">
        <f>사용자당!B4</f>
        <v/>
      </c>
    </row>
    <row r="6">
      <c r="A6" s="18" t="inlineStr">
        <is>
          <t>손익분기 CPI (설치당 총매출 $0.30 기준)</t>
        </is>
      </c>
      <c r="B6" s="23">
        <f>0.3*B4-B5</f>
        <v/>
      </c>
      <c r="C6" s="2" t="inlineStr">
        <is>
          <t>← 총매출 $0.30/설치(RevenueCat 60일 중앙값 부근)일 때 이 CPI 이하여야 흑자</t>
        </is>
      </c>
    </row>
    <row r="8">
      <c r="A8" s="3" t="inlineStr">
        <is>
          <t>CPI ↓ / 설치당 총매출 →</t>
        </is>
      </c>
      <c r="B8" s="24" t="n">
        <v>0.15</v>
      </c>
      <c r="C8" s="24" t="n">
        <v>0.25</v>
      </c>
      <c r="D8" s="24" t="n">
        <v>0.34</v>
      </c>
      <c r="E8" s="24" t="n">
        <v>0.5</v>
      </c>
      <c r="F8" s="24" t="n">
        <v>0.75</v>
      </c>
      <c r="G8" s="24" t="n">
        <v>1</v>
      </c>
    </row>
    <row r="9">
      <c r="A9" s="6" t="n">
        <v>0</v>
      </c>
      <c r="B9" s="25">
        <f>B$8*$B$4-$B$5-$A9</f>
        <v/>
      </c>
      <c r="C9" s="25">
        <f>C$8*$B$4-$B$5-$A9</f>
        <v/>
      </c>
      <c r="D9" s="25">
        <f>D$8*$B$4-$B$5-$A9</f>
        <v/>
      </c>
      <c r="E9" s="25">
        <f>E$8*$B$4-$B$5-$A9</f>
        <v/>
      </c>
      <c r="F9" s="25">
        <f>F$8*$B$4-$B$5-$A9</f>
        <v/>
      </c>
      <c r="G9" s="25">
        <f>G$8*$B$4-$B$5-$A9</f>
        <v/>
      </c>
    </row>
    <row r="10">
      <c r="A10" s="6" t="n">
        <v>0.25</v>
      </c>
      <c r="B10" s="25">
        <f>B$8*$B$4-$B$5-$A10</f>
        <v/>
      </c>
      <c r="C10" s="25">
        <f>C$8*$B$4-$B$5-$A10</f>
        <v/>
      </c>
      <c r="D10" s="25">
        <f>D$8*$B$4-$B$5-$A10</f>
        <v/>
      </c>
      <c r="E10" s="25">
        <f>E$8*$B$4-$B$5-$A10</f>
        <v/>
      </c>
      <c r="F10" s="25">
        <f>F$8*$B$4-$B$5-$A10</f>
        <v/>
      </c>
      <c r="G10" s="25">
        <f>G$8*$B$4-$B$5-$A10</f>
        <v/>
      </c>
    </row>
    <row r="11">
      <c r="A11" s="6" t="n">
        <v>0.5</v>
      </c>
      <c r="B11" s="25">
        <f>B$8*$B$4-$B$5-$A11</f>
        <v/>
      </c>
      <c r="C11" s="25">
        <f>C$8*$B$4-$B$5-$A11</f>
        <v/>
      </c>
      <c r="D11" s="25">
        <f>D$8*$B$4-$B$5-$A11</f>
        <v/>
      </c>
      <c r="E11" s="25">
        <f>E$8*$B$4-$B$5-$A11</f>
        <v/>
      </c>
      <c r="F11" s="25">
        <f>F$8*$B$4-$B$5-$A11</f>
        <v/>
      </c>
      <c r="G11" s="25">
        <f>G$8*$B$4-$B$5-$A11</f>
        <v/>
      </c>
    </row>
    <row r="12">
      <c r="A12" s="6" t="n">
        <v>1</v>
      </c>
      <c r="B12" s="25">
        <f>B$8*$B$4-$B$5-$A12</f>
        <v/>
      </c>
      <c r="C12" s="25">
        <f>C$8*$B$4-$B$5-$A12</f>
        <v/>
      </c>
      <c r="D12" s="25">
        <f>D$8*$B$4-$B$5-$A12</f>
        <v/>
      </c>
      <c r="E12" s="25">
        <f>E$8*$B$4-$B$5-$A12</f>
        <v/>
      </c>
      <c r="F12" s="25">
        <f>F$8*$B$4-$B$5-$A12</f>
        <v/>
      </c>
      <c r="G12" s="25">
        <f>G$8*$B$4-$B$5-$A12</f>
        <v/>
      </c>
    </row>
    <row r="13">
      <c r="A13" s="6" t="n">
        <v>2</v>
      </c>
      <c r="B13" s="25">
        <f>B$8*$B$4-$B$5-$A13</f>
        <v/>
      </c>
      <c r="C13" s="25">
        <f>C$8*$B$4-$B$5-$A13</f>
        <v/>
      </c>
      <c r="D13" s="25">
        <f>D$8*$B$4-$B$5-$A13</f>
        <v/>
      </c>
      <c r="E13" s="25">
        <f>E$8*$B$4-$B$5-$A13</f>
        <v/>
      </c>
      <c r="F13" s="25">
        <f>F$8*$B$4-$B$5-$A13</f>
        <v/>
      </c>
      <c r="G13" s="25">
        <f>G$8*$B$4-$B$5-$A13</f>
        <v/>
      </c>
    </row>
    <row r="14">
      <c r="A14" s="6" t="n">
        <v>3</v>
      </c>
      <c r="B14" s="25">
        <f>B$8*$B$4-$B$5-$A14</f>
        <v/>
      </c>
      <c r="C14" s="25">
        <f>C$8*$B$4-$B$5-$A14</f>
        <v/>
      </c>
      <c r="D14" s="25">
        <f>D$8*$B$4-$B$5-$A14</f>
        <v/>
      </c>
      <c r="E14" s="25">
        <f>E$8*$B$4-$B$5-$A14</f>
        <v/>
      </c>
      <c r="F14" s="25">
        <f>F$8*$B$4-$B$5-$A14</f>
        <v/>
      </c>
      <c r="G14" s="25">
        <f>G$8*$B$4-$B$5-$A14</f>
        <v/>
      </c>
    </row>
    <row r="15">
      <c r="A15" s="6" t="n">
        <v>4</v>
      </c>
      <c r="B15" s="25">
        <f>B$8*$B$4-$B$5-$A15</f>
        <v/>
      </c>
      <c r="C15" s="25">
        <f>C$8*$B$4-$B$5-$A15</f>
        <v/>
      </c>
      <c r="D15" s="25">
        <f>D$8*$B$4-$B$5-$A15</f>
        <v/>
      </c>
      <c r="E15" s="25">
        <f>E$8*$B$4-$B$5-$A15</f>
        <v/>
      </c>
      <c r="F15" s="25">
        <f>F$8*$B$4-$B$5-$A15</f>
        <v/>
      </c>
      <c r="G15" s="25">
        <f>G$8*$B$4-$B$5-$A15</f>
        <v/>
      </c>
    </row>
    <row r="16">
      <c r="A16" s="6" t="n">
        <v>5</v>
      </c>
      <c r="B16" s="25">
        <f>B$8*$B$4-$B$5-$A16</f>
        <v/>
      </c>
      <c r="C16" s="25">
        <f>C$8*$B$4-$B$5-$A16</f>
        <v/>
      </c>
      <c r="D16" s="25">
        <f>D$8*$B$4-$B$5-$A16</f>
        <v/>
      </c>
      <c r="E16" s="25">
        <f>E$8*$B$4-$B$5-$A16</f>
        <v/>
      </c>
      <c r="F16" s="25">
        <f>F$8*$B$4-$B$5-$A16</f>
        <v/>
      </c>
      <c r="G16" s="25">
        <f>G$8*$B$4-$B$5-$A16</f>
        <v/>
      </c>
    </row>
    <row r="18">
      <c r="A18" s="2" t="inlineStr">
        <is>
          <t>읽는 법: 오가닉·시딩 유입(CPI 약 $0)은 설치당 총매출이 $0.15만 돼도 흑자입니다. 유료 증폭(CPI $2~4)은 설치당 총매출이 $1.00이어도(RevenueCat 중앙값의 약 3배) 적자입니다. 손익분기 CPI는 위 B6 값이고, 설치당 총매출 $1.00일 때도 약 $0.75입니다.</t>
        </is>
      </c>
    </row>
    <row r="19">
      <c r="A19" s="2" t="inlineStr">
        <is>
          <t>0.34 = RevenueCat 2026판 60일 설치당 매출 중앙값(확인됨). 나머지 열은 시나리오용 임의 값입니다.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52" customWidth="1" min="6" max="6"/>
  </cols>
  <sheetData>
    <row r="1">
      <c r="A1" s="1" t="inlineStr">
        <is>
          <t>월 순이익 목표에서 거꾸로 계산: 필요한 설치·구독자 수</t>
        </is>
      </c>
    </row>
    <row r="2">
      <c r="A2" s="2" t="inlineStr">
        <is>
          <t>정상 상태(매달 같은 수준이 유지될 때) 기준입니다. 파란 칸을 바꾸면 전부 다시 계산됩니다. 소득세는 포함하지 않습니다.</t>
        </is>
      </c>
    </row>
    <row r="4">
      <c r="A4" t="inlineStr">
        <is>
          <t>목표 월 순이익 (원)</t>
        </is>
      </c>
      <c r="B4" s="26" t="n">
        <v>5000000</v>
      </c>
    </row>
    <row r="5">
      <c r="A5" t="inlineStr">
        <is>
          <t>환율 (원/달러)</t>
        </is>
      </c>
      <c r="B5" s="27" t="n">
        <v>1400</v>
      </c>
      <c r="C5" s="2" t="inlineStr">
        <is>
          <t>가정. 실제 환율로 교체</t>
        </is>
      </c>
    </row>
    <row r="6">
      <c r="A6" t="inlineStr">
        <is>
          <t>목표 월 순이익 (달러)</t>
        </is>
      </c>
      <c r="B6" s="20">
        <f>B4/B5</f>
        <v/>
      </c>
    </row>
    <row r="7">
      <c r="A7" t="inlineStr">
        <is>
          <t>월 마케팅 지출 (달러)</t>
        </is>
      </c>
      <c r="B7" s="12" t="n">
        <v>500</v>
      </c>
      <c r="C7" s="2" t="inlineStr">
        <is>
          <t>MARKETING_SPEC.md 월 예산 $500 (확인됨)</t>
        </is>
      </c>
    </row>
    <row r="8">
      <c r="A8" t="inlineStr">
        <is>
          <t>월 고정비 (달러)</t>
        </is>
      </c>
      <c r="B8" s="28">
        <f>입력!$B$30</f>
        <v/>
      </c>
      <c r="C8" s="2" t="inlineStr">
        <is>
          <t>입력 탭의 값. 실제 청구액으로 교체 필요</t>
        </is>
      </c>
    </row>
    <row r="9">
      <c r="A9" t="inlineStr">
        <is>
          <t>순매출 환산계수</t>
        </is>
      </c>
      <c r="B9" s="29">
        <f>'CPI 민감도'!B4</f>
        <v/>
      </c>
    </row>
    <row r="11">
      <c r="A11" s="3" t="inlineStr">
        <is>
          <t>항목</t>
        </is>
      </c>
      <c r="B11" s="3" t="inlineStr">
        <is>
          <t>A 보수</t>
        </is>
      </c>
      <c r="C11" s="3" t="inlineStr">
        <is>
          <t>B 중간</t>
        </is>
      </c>
      <c r="D11" s="3" t="inlineStr">
        <is>
          <t>C 낙관</t>
        </is>
      </c>
      <c r="E11" s="3" t="inlineStr">
        <is>
          <t>D 중간+가격 $9.99</t>
        </is>
      </c>
    </row>
    <row r="12">
      <c r="A12" s="2" t="inlineStr">
        <is>
          <t>구독 월 가격</t>
        </is>
      </c>
      <c r="B12" s="15">
        <f>입력!$B$6</f>
        <v/>
      </c>
      <c r="C12" s="15">
        <f>입력!$B$6</f>
        <v/>
      </c>
      <c r="D12" s="15">
        <f>입력!$B$6</f>
        <v/>
      </c>
      <c r="E12" s="6" t="n">
        <v>9.99</v>
      </c>
      <c r="F12" s="2" t="inlineStr">
        <is>
          <t>D만 가격 인상 가정 (입력값)</t>
        </is>
      </c>
    </row>
    <row r="13">
      <c r="A13" s="2" t="inlineStr">
        <is>
          <t>설치→구독 전환율</t>
        </is>
      </c>
      <c r="B13" s="17" t="n">
        <v>0.012</v>
      </c>
      <c r="C13" s="17" t="n">
        <v>0.018</v>
      </c>
      <c r="D13" s="17" t="n">
        <v>0.025</v>
      </c>
      <c r="E13" s="17" t="n">
        <v>0.018</v>
      </c>
      <c r="F13" s="2" t="inlineStr">
        <is>
          <t>RevenueCat 중앙값 2.0%(확인됨) 기준 조정 (추정)</t>
        </is>
      </c>
    </row>
    <row r="14">
      <c r="A14" s="2" t="inlineStr">
        <is>
          <t>구독자 월 이탈률</t>
        </is>
      </c>
      <c r="B14" s="17" t="n">
        <v>0.3</v>
      </c>
      <c r="C14" s="17" t="n">
        <v>0.25</v>
      </c>
      <c r="D14" s="17" t="n">
        <v>0.2</v>
      </c>
      <c r="E14" s="17" t="n">
        <v>0.25</v>
      </c>
      <c r="F14" s="2" t="inlineStr">
        <is>
          <t>근거 약함 (추정). 실측으로 교체</t>
        </is>
      </c>
    </row>
    <row r="15">
      <c r="A15" s="2" t="inlineStr">
        <is>
          <t>설치→딥 리포트 구매율</t>
        </is>
      </c>
      <c r="B15" s="17" t="n">
        <v>0.01</v>
      </c>
      <c r="C15" s="17" t="n">
        <v>0.015</v>
      </c>
      <c r="D15" s="17" t="n">
        <v>0.02</v>
      </c>
      <c r="E15" s="17" t="n">
        <v>0.015</v>
      </c>
      <c r="F15" s="2" t="inlineStr">
        <is>
          <t>추정</t>
        </is>
      </c>
    </row>
    <row r="16">
      <c r="A16" s="18" t="inlineStr">
        <is>
          <t>계산</t>
        </is>
      </c>
    </row>
    <row r="17">
      <c r="A17" s="2" t="inlineStr">
        <is>
          <t>구독자 1명 월 마진</t>
        </is>
      </c>
      <c r="B17" s="15">
        <f>B12*$B$9-사용자당!$B$5</f>
        <v/>
      </c>
      <c r="C17" s="15">
        <f>C12*$B$9-사용자당!$B$5</f>
        <v/>
      </c>
      <c r="D17" s="15">
        <f>D12*$B$9-사용자당!$B$5</f>
        <v/>
      </c>
      <c r="E17" s="15">
        <f>E12*$B$9-사용자당!$B$5</f>
        <v/>
      </c>
    </row>
    <row r="18">
      <c r="A18" s="2" t="inlineStr">
        <is>
          <t>딥 리포트 1건 마진</t>
        </is>
      </c>
      <c r="B18" s="15">
        <f>입력!$B$7*$B$9-입력!$B$14</f>
        <v/>
      </c>
      <c r="C18" s="15">
        <f>입력!$B$7*$B$9-입력!$B$14</f>
        <v/>
      </c>
      <c r="D18" s="15">
        <f>입력!$B$7*$B$9-입력!$B$14</f>
        <v/>
      </c>
      <c r="E18" s="15">
        <f>입력!$B$7*$B$9-입력!$B$14</f>
        <v/>
      </c>
    </row>
    <row r="19">
      <c r="A19" s="2" t="inlineStr">
        <is>
          <t>정상 상태 구독자 / 월 신규 설치</t>
        </is>
      </c>
      <c r="B19" s="30">
        <f>B13/B14</f>
        <v/>
      </c>
      <c r="C19" s="30">
        <f>C13/C14</f>
        <v/>
      </c>
      <c r="D19" s="30">
        <f>D13/D14</f>
        <v/>
      </c>
      <c r="E19" s="30">
        <f>E13/E14</f>
        <v/>
      </c>
    </row>
    <row r="20">
      <c r="A20" s="2" t="inlineStr">
        <is>
          <t>설치 1건당 월 공헌이익</t>
        </is>
      </c>
      <c r="B20" s="15">
        <f>B19*B17+B15*B18-사용자당!$B$4</f>
        <v/>
      </c>
      <c r="C20" s="15">
        <f>C19*C17+C15*C18-사용자당!$B$4</f>
        <v/>
      </c>
      <c r="D20" s="15">
        <f>D19*D17+D15*D18-사용자당!$B$4</f>
        <v/>
      </c>
      <c r="E20" s="15">
        <f>E19*E17+E15*E18-사용자당!$B$4</f>
        <v/>
      </c>
    </row>
    <row r="21">
      <c r="A21" s="18" t="inlineStr">
        <is>
          <t>필요 월 신규 설치</t>
        </is>
      </c>
      <c r="B21" s="31">
        <f>($B$6+$B$7+$B$8)/B20</f>
        <v/>
      </c>
      <c r="C21" s="31">
        <f>($B$6+$B$7+$B$8)/C20</f>
        <v/>
      </c>
      <c r="D21" s="31">
        <f>($B$6+$B$7+$B$8)/D20</f>
        <v/>
      </c>
      <c r="E21" s="31">
        <f>($B$6+$B$7+$B$8)/E20</f>
        <v/>
      </c>
    </row>
    <row r="22">
      <c r="A22" s="2" t="inlineStr">
        <is>
          <t>필요 일 신규 설치</t>
        </is>
      </c>
      <c r="B22" s="19">
        <f>B21/30</f>
        <v/>
      </c>
      <c r="C22" s="19">
        <f>C21/30</f>
        <v/>
      </c>
      <c r="D22" s="19">
        <f>D21/30</f>
        <v/>
      </c>
      <c r="E22" s="19">
        <f>E21/30</f>
        <v/>
      </c>
    </row>
    <row r="23">
      <c r="A23" s="2" t="inlineStr">
        <is>
          <t>필요 활성 구독자</t>
        </is>
      </c>
      <c r="B23" s="19">
        <f>B21*B19</f>
        <v/>
      </c>
      <c r="C23" s="19">
        <f>C21*C19</f>
        <v/>
      </c>
      <c r="D23" s="19">
        <f>D21*D19</f>
        <v/>
      </c>
      <c r="E23" s="19">
        <f>E21*E19</f>
        <v/>
      </c>
    </row>
    <row r="24">
      <c r="A24" s="2" t="inlineStr">
        <is>
          <t>월 딥 리포트 판매</t>
        </is>
      </c>
      <c r="B24" s="19">
        <f>B21*B15</f>
        <v/>
      </c>
      <c r="C24" s="19">
        <f>C21*C15</f>
        <v/>
      </c>
      <c r="D24" s="19">
        <f>D21*D15</f>
        <v/>
      </c>
      <c r="E24" s="19">
        <f>E21*E15</f>
        <v/>
      </c>
    </row>
    <row r="25">
      <c r="A25" s="2" t="inlineStr">
        <is>
          <t>월 구독 매출 기여 (순)</t>
        </is>
      </c>
      <c r="B25" s="20">
        <f>B23*B17</f>
        <v/>
      </c>
      <c r="C25" s="20">
        <f>C23*C17</f>
        <v/>
      </c>
      <c r="D25" s="20">
        <f>D23*D17</f>
        <v/>
      </c>
      <c r="E25" s="20">
        <f>E23*E17</f>
        <v/>
      </c>
    </row>
    <row r="26">
      <c r="A26" s="2" t="inlineStr">
        <is>
          <t>월 리포트 매출 기여 (순)</t>
        </is>
      </c>
      <c r="B26" s="20">
        <f>B24*B18</f>
        <v/>
      </c>
      <c r="C26" s="20">
        <f>C24*C18</f>
        <v/>
      </c>
      <c r="D26" s="20">
        <f>D24*D18</f>
        <v/>
      </c>
      <c r="E26" s="20">
        <f>E24*E18</f>
        <v/>
      </c>
    </row>
    <row r="28">
      <c r="A28" s="18" t="inlineStr">
        <is>
          <t>유입에 필요한 조회수</t>
        </is>
      </c>
    </row>
    <row r="29">
      <c r="A29" t="inlineStr">
        <is>
          <t>조회→설치 전환율</t>
        </is>
      </c>
      <c r="B29" s="32" t="n">
        <v>0.002</v>
      </c>
      <c r="C29" s="2" t="inlineStr">
        <is>
          <t>가정 0.1~0.3%의 중간. 출처 없음. 첫 영상 데이터로 교체</t>
        </is>
      </c>
    </row>
    <row r="30">
      <c r="A30" s="2" t="inlineStr">
        <is>
          <t>필요 월 조회수 (전부 숏폼 유입일 때)</t>
        </is>
      </c>
      <c r="B30" s="19">
        <f>B21/$B$29</f>
        <v/>
      </c>
      <c r="C30" s="19">
        <f>C21/$B$29</f>
        <v/>
      </c>
      <c r="D30" s="19">
        <f>D21/$B$29</f>
        <v/>
      </c>
      <c r="E30" s="19">
        <f>E21/$B$29</f>
        <v/>
      </c>
    </row>
    <row r="31">
      <c r="A31" s="2" t="inlineStr">
        <is>
          <t>필요 월 조회수 (설치의 50%가 숏폼일 때)</t>
        </is>
      </c>
      <c r="B31" s="19">
        <f>B21*$B$32/$B$29</f>
        <v/>
      </c>
      <c r="C31" s="19">
        <f>C21*$B$32/$B$29</f>
        <v/>
      </c>
      <c r="D31" s="19">
        <f>D21*$B$32/$B$29</f>
        <v/>
      </c>
      <c r="E31" s="19">
        <f>E21*$B$32/$B$29</f>
        <v/>
      </c>
    </row>
    <row r="32">
      <c r="A32" s="2" t="inlineStr">
        <is>
          <t>숏폼 유입 비중</t>
        </is>
      </c>
      <c r="B32" s="17" t="n">
        <v>0.5</v>
      </c>
    </row>
    <row r="34">
      <c r="A34" s="18" t="inlineStr">
        <is>
          <t>성장 경로 (B 중간 시나리오 단가로 환산한 정상 상태 월 순이익)</t>
        </is>
      </c>
    </row>
    <row r="35">
      <c r="A35" s="3" t="inlineStr">
        <is>
          <t>시점</t>
        </is>
      </c>
      <c r="B35" s="3" t="inlineStr">
        <is>
          <t>월 신규 설치 (목표)</t>
        </is>
      </c>
      <c r="C35" s="3" t="inlineStr">
        <is>
          <t>월 순이익 ($)</t>
        </is>
      </c>
      <c r="D35" s="3" t="inlineStr">
        <is>
          <t>월 순이익 (원)</t>
        </is>
      </c>
      <c r="E35" s="3" t="inlineStr">
        <is>
          <t>목표 대비</t>
        </is>
      </c>
    </row>
    <row r="36">
      <c r="A36" s="2" t="inlineStr">
        <is>
          <t>3개월</t>
        </is>
      </c>
      <c r="B36" s="16" t="n">
        <v>450</v>
      </c>
      <c r="C36" s="20">
        <f>B36*$C$20-$B$7-$B$8</f>
        <v/>
      </c>
      <c r="D36" s="19">
        <f>C36*$B$5</f>
        <v/>
      </c>
      <c r="E36" s="33">
        <f>D36/$B$4</f>
        <v/>
      </c>
    </row>
    <row r="37">
      <c r="A37" s="2" t="inlineStr">
        <is>
          <t>6개월</t>
        </is>
      </c>
      <c r="B37" s="16" t="n">
        <v>2000</v>
      </c>
      <c r="C37" s="20">
        <f>B37*$C$20-$B$7-$B$8</f>
        <v/>
      </c>
      <c r="D37" s="19">
        <f>C37*$B$5</f>
        <v/>
      </c>
      <c r="E37" s="33">
        <f>D37/$B$4</f>
        <v/>
      </c>
    </row>
    <row r="38">
      <c r="A38" s="2" t="inlineStr">
        <is>
          <t>9개월</t>
        </is>
      </c>
      <c r="B38" s="16" t="n">
        <v>4000</v>
      </c>
      <c r="C38" s="20">
        <f>B38*$C$20-$B$7-$B$8</f>
        <v/>
      </c>
      <c r="D38" s="19">
        <f>C38*$B$5</f>
        <v/>
      </c>
      <c r="E38" s="33">
        <f>D38/$B$4</f>
        <v/>
      </c>
    </row>
    <row r="39">
      <c r="A39" s="2" t="inlineStr">
        <is>
          <t>12개월</t>
        </is>
      </c>
      <c r="B39" s="16" t="n">
        <v>6000</v>
      </c>
      <c r="C39" s="20">
        <f>B39*$C$20-$B$7-$B$8</f>
        <v/>
      </c>
      <c r="D39" s="19">
        <f>C39*$B$5</f>
        <v/>
      </c>
      <c r="E39" s="33">
        <f>D39/$B$4</f>
        <v/>
      </c>
    </row>
    <row r="40">
      <c r="A40" s="2" t="inlineStr">
        <is>
          <t>15개월</t>
        </is>
      </c>
      <c r="B40" s="16" t="n">
        <v>7000</v>
      </c>
      <c r="C40" s="20">
        <f>B40*$C$20-$B$7-$B$8</f>
        <v/>
      </c>
      <c r="D40" s="19">
        <f>C40*$B$5</f>
        <v/>
      </c>
      <c r="E40" s="33">
        <f>D40/$B$4</f>
        <v/>
      </c>
    </row>
    <row r="41">
      <c r="A41" s="2" t="inlineStr">
        <is>
          <t>18개월</t>
        </is>
      </c>
      <c r="B41" s="16" t="n">
        <v>8000</v>
      </c>
      <c r="C41" s="20">
        <f>B41*$C$20-$B$7-$B$8</f>
        <v/>
      </c>
      <c r="D41" s="19">
        <f>C41*$B$5</f>
        <v/>
      </c>
      <c r="E41" s="33">
        <f>D41/$B$4</f>
        <v/>
      </c>
    </row>
    <row r="43">
      <c r="A43" s="2" t="inlineStr">
        <is>
          <t>· 경로의 수익은 구독자가 쌓이는 시차를 무시한 정상 상태 값이라 실제로는 몇 달 늦게 따라옵니다. 설치 수 목표는 임의의 예시입니다.</t>
        </is>
      </c>
    </row>
    <row r="44">
      <c r="A44" s="2" t="inlineStr">
        <is>
          <t>· 6개월 시점에 구독자 50명 미만이면 이 경로는 맞지 않다고 보고 가격·구조를 먼저 바꿉니다(판단 기준, 계산 아님).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2026-10-19T09:27:26Z</dcterms:created>
  <dcterms:modified xsi:type="dcterms:W3CDTF">2026-10-20T02:34:04Z</dcterms:modified>
</cp:coreProperties>
</file>